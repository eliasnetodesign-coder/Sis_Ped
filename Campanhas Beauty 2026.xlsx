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.neto\Desktop\"/>
    </mc:Choice>
  </mc:AlternateContent>
  <xr:revisionPtr revIDLastSave="0" documentId="13_ncr:1_{04670F20-8332-4EF6-9E3D-1EEAB5F1B7A1}" xr6:coauthVersionLast="47" xr6:coauthVersionMax="47" xr10:uidLastSave="{00000000-0000-0000-0000-000000000000}"/>
  <bookViews>
    <workbookView xWindow="-120" yWindow="-120" windowWidth="29040" windowHeight="15720" activeTab="1" xr2:uid="{515B8BDD-A119-4654-8FCB-CC4842D928E8}"/>
  </bookViews>
  <sheets>
    <sheet name="Pedido " sheetId="4" r:id="rId1"/>
    <sheet name="Campanhas Beauty " sheetId="1" r:id="rId2"/>
    <sheet name="Camp 1 (Coloração)" sheetId="2" r:id="rId3"/>
    <sheet name="Camp 5" sheetId="3" r:id="rId4"/>
    <sheet name="Produtos Fora de Campanha " sheetId="6" r:id="rId5"/>
  </sheets>
  <definedNames>
    <definedName name="_xlnm._FilterDatabase" localSheetId="2" hidden="1">'Camp 1 (Coloração)'!$A$1:$E$117</definedName>
    <definedName name="_xlnm._FilterDatabase" localSheetId="3" hidden="1">'Camp 5'!$A$1:$E$27</definedName>
    <definedName name="_xlnm._FilterDatabase" localSheetId="4" hidden="1">'Produtos Fora de Campanha '!$A$1:$E$107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20" i="1"/>
  <c r="L21" i="1"/>
  <c r="L22" i="1"/>
  <c r="L18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2" i="6"/>
  <c r="C2" i="6"/>
  <c r="C107" i="6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G3" i="1"/>
  <c r="G4" i="1"/>
  <c r="G5" i="1"/>
  <c r="G6" i="1"/>
  <c r="G7" i="1"/>
  <c r="G8" i="1"/>
  <c r="G10" i="1"/>
  <c r="G11" i="1"/>
  <c r="G12" i="1"/>
  <c r="G13" i="1"/>
  <c r="G14" i="1"/>
  <c r="G15" i="1"/>
  <c r="G16" i="1"/>
  <c r="G18" i="1"/>
  <c r="G19" i="1"/>
  <c r="F3" i="1"/>
  <c r="F4" i="1"/>
  <c r="F5" i="1"/>
  <c r="F6" i="1"/>
  <c r="F7" i="1"/>
  <c r="F8" i="1"/>
  <c r="F10" i="1"/>
  <c r="F11" i="1"/>
  <c r="F12" i="1"/>
  <c r="F13" i="1"/>
  <c r="F14" i="1"/>
  <c r="F15" i="1"/>
  <c r="F16" i="1"/>
  <c r="F18" i="1"/>
  <c r="F19" i="1"/>
  <c r="E3" i="1"/>
  <c r="E4" i="1"/>
  <c r="E5" i="1"/>
  <c r="E6" i="1"/>
  <c r="E7" i="1"/>
  <c r="E8" i="1"/>
  <c r="E10" i="1"/>
  <c r="E11" i="1"/>
  <c r="E12" i="1"/>
  <c r="E13" i="1"/>
  <c r="E14" i="1"/>
  <c r="E15" i="1"/>
  <c r="E16" i="1"/>
  <c r="E18" i="1"/>
  <c r="E19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2" i="2"/>
  <c r="E9" i="1" l="1"/>
  <c r="E107" i="6"/>
  <c r="G23" i="1" s="1"/>
  <c r="E27" i="3"/>
  <c r="G17" i="1" s="1"/>
  <c r="D118" i="2"/>
  <c r="E2" i="1" s="1"/>
  <c r="E118" i="2"/>
  <c r="G2" i="1" s="1"/>
  <c r="G22" i="1" s="1"/>
  <c r="G24" i="1" l="1"/>
</calcChain>
</file>

<file path=xl/sharedStrings.xml><?xml version="1.0" encoding="utf-8"?>
<sst xmlns="http://schemas.openxmlformats.org/spreadsheetml/2006/main" count="386" uniqueCount="348">
  <si>
    <t>Camp 1</t>
  </si>
  <si>
    <t xml:space="preserve">Coloração </t>
  </si>
  <si>
    <t>Camp 2</t>
  </si>
  <si>
    <t xml:space="preserve">Oxidante 02 vol </t>
  </si>
  <si>
    <t>Oxidante 06 vol</t>
  </si>
  <si>
    <t>Oxidante 20 vol</t>
  </si>
  <si>
    <t>Oxidante 30 vol</t>
  </si>
  <si>
    <t>Oxidante 40 vol</t>
  </si>
  <si>
    <t xml:space="preserve">Camp 3 </t>
  </si>
  <si>
    <t>Pó Descolorante Itallian Color 400g Pouch </t>
  </si>
  <si>
    <t>Camp 4</t>
  </si>
  <si>
    <t xml:space="preserve">Shampoo 2,5L </t>
  </si>
  <si>
    <t xml:space="preserve">Condicionador 2,5L </t>
  </si>
  <si>
    <t xml:space="preserve">Hidratação 2Kg </t>
  </si>
  <si>
    <t>Camp 5</t>
  </si>
  <si>
    <t xml:space="preserve">Camp 6 </t>
  </si>
  <si>
    <t>Kit Travel Size Trivitt</t>
  </si>
  <si>
    <t>SHAMPOO POS QUIMICA USO FREQUENTE TRIVITT 250ML 2023</t>
  </si>
  <si>
    <t>SHAMPOO MATIZANTE TRIVITT 250ML 2023</t>
  </si>
  <si>
    <t>SHAMPOO NUTRITIVO TRIVITT 250ML 2024</t>
  </si>
  <si>
    <t>SHAMPOO MATIZANTE TRIVITT 250ML 2026</t>
  </si>
  <si>
    <t>SHAMPOO USO DIARIO TRIVITT 250ML 2026</t>
  </si>
  <si>
    <t>SHAMPOO USO DIARIO TRIVITT 50ML 2026</t>
  </si>
  <si>
    <t>SHAMPOO POS QUIMICA USO FREQUENTE TRIVITT 1L 2023</t>
  </si>
  <si>
    <t>SHAMPOO MATIZANTE TRIVITT 1L 2023</t>
  </si>
  <si>
    <t>SHAMPOO MATIZANTE TRIVITT 1L 2026</t>
  </si>
  <si>
    <t>HIDRATACAO INTENSIVA TRIVITT 200G 2023</t>
  </si>
  <si>
    <t>HIDRATACAO MATIZANTE TRIVITT 200G 2023</t>
  </si>
  <si>
    <t>NUTRICAO INTENSIVA TRIVITT 200G 2024</t>
  </si>
  <si>
    <t>HIDRATACAO MATIZANTE TRIVITT 200G 2026</t>
  </si>
  <si>
    <t>HIDRATACAO INTENSIVA TRIVITT 1KG 2023</t>
  </si>
  <si>
    <t>HIDRATACAO MATIZANTE TRIVITT 1KG 2023</t>
  </si>
  <si>
    <t>CAUTERIZACAO TRIVITT 300ML 2023</t>
  </si>
  <si>
    <t>HIDRATACAO INTENSIVA TRIVITT 50G 2026</t>
  </si>
  <si>
    <t>LEAVE-IN HIDRATANTE TRIVITT 200ML 2023</t>
  </si>
  <si>
    <t>REPARADOR DE PONTAS TRIVITT 30ML 2024</t>
  </si>
  <si>
    <t>POWER OIL TRIVITT 30ML 2024</t>
  </si>
  <si>
    <t>BRILHO INTENSO TRIVITT STYLE 200ML/128G 2023 - ONU 1950</t>
  </si>
  <si>
    <t>FLUIDO PROTETOR TRIVITT SUN 120ML</t>
  </si>
  <si>
    <t>FLUIDO P/ ESCOVA MATIZANTE TRIVITT 200ML 2023</t>
  </si>
  <si>
    <t>FLUIDO P/ ESCOVA TRIVITT 30ML 2026</t>
  </si>
  <si>
    <t>FLUIDO P/ ESCOVA MATIZANTE TRIVITT 30ML 2026</t>
  </si>
  <si>
    <t>LEAVE-IN HIDRATANTE TRIVITT 50ML 2026</t>
  </si>
  <si>
    <t>CREME DE MODELAR TRIVITT STYLE 50G 2023</t>
  </si>
  <si>
    <t>POMADA ALTA FIXACAO TRIVITT STYLE 50G 2023</t>
  </si>
  <si>
    <t>MODELADOR EM PO TRIVITT STYLE 10G 2023</t>
  </si>
  <si>
    <t>MOUSSE TRIVITT STYLE 300ML/280G 2023 - ONU 1950</t>
  </si>
  <si>
    <t>KIT HOMECARE TRIVITT COM HIDRATACAO 2023</t>
  </si>
  <si>
    <t>KIT HOMECARE TRIVITT MATIZANTE 2023</t>
  </si>
  <si>
    <t>KIT HOMECARE TRIVITT C/ HIDRATACAO E REPARADOR DE PONTAS 2024</t>
  </si>
  <si>
    <t>KIT HOMECARE TRIVITT C/ LEAVE-IN E REPARADOR DE PONTAS 2024</t>
  </si>
  <si>
    <t>KIT ESPECIAL C/ CORACOES TRIVITT C/ HIDRATACAO</t>
  </si>
  <si>
    <t>KIT ESPECIAL C/ CORACOES TRIVITT C/ LEAVE-IN</t>
  </si>
  <si>
    <t>KIT HOMECARE TRIVITT SHAMPOO + CONDICIONADOR 2025</t>
  </si>
  <si>
    <t>KIT HOMECARE TRIVITT C/ HIDRATACAO E REPARADOR DE PONTAS 2025</t>
  </si>
  <si>
    <t>KIT HOMECARE TRIVITT C/ HIDRATACAO E POWER OIL 2025</t>
  </si>
  <si>
    <t>KIT HOME CARE TRIVITT ESPECIAL C/ HIDRATACAO + FLUIDO P/ ESCOVA 3</t>
  </si>
  <si>
    <t>KIT HOME CARE TRIVITT ESPECIAL C/ LEAVE-IN + FLUIDO P/ ESCOVA 30M</t>
  </si>
  <si>
    <t>KIT COLECAO MOCHA MOUSSE 2025</t>
  </si>
  <si>
    <t>KIT PROFISSIONAL TRIVITT 2023</t>
  </si>
  <si>
    <t>KIT PROFISSIONAL TRIVITT NUTRICAO 2024</t>
  </si>
  <si>
    <t>CONDICIONADOR TRIVITT 200ML 2023</t>
  </si>
  <si>
    <t>CONDICIONADOR MATIZANTE TRIVITT 200ML 2023</t>
  </si>
  <si>
    <t>CONDICIONADOR MATIZANTE TRIVITT 200ML 2026</t>
  </si>
  <si>
    <t>ESCOVA BRASILEIRA TRIVITT 1L</t>
  </si>
  <si>
    <t>TRIVITT LISS BTX MATIZANTE 1KG</t>
  </si>
  <si>
    <t>TRIVITT NO FRIZZ 1L 2023</t>
  </si>
  <si>
    <t>BRAZILIAN KERATIN TRIVITT 1L 2023</t>
  </si>
  <si>
    <t>SACHE SHAMPOO 10ML + NUTRICAO 10G - TRIVITT NUTRICAO</t>
  </si>
  <si>
    <t>SACHE DUPLO - TRIVITT USO DIARIO</t>
  </si>
  <si>
    <t>HIDRATACAO INTENSIVA TRIVITT 30G 2024</t>
  </si>
  <si>
    <t>HAIR &amp; BODY SPLASH RITUAL TRIVITT 200ML</t>
  </si>
  <si>
    <t>PERFUME CAPILAR TRIVITT 50ML</t>
  </si>
  <si>
    <t>HAIR &amp; BODY SPLASH ESSENCE TRIVITT 200ML</t>
  </si>
  <si>
    <t>SHAMPOO SEM SULFATO INNOVATOR 280ML 2019</t>
  </si>
  <si>
    <t>SHAMPOO SEM SULFATO INNOVATOR 1L 2019</t>
  </si>
  <si>
    <t>HIDRATACAO CONDICIONANTE INNOVATOR 250G 2019</t>
  </si>
  <si>
    <t>HIDRATACAO CONDICIONANTE INNOVATOR 1KG 2019</t>
  </si>
  <si>
    <t>ATIVADOR GUANIDINA INNOVATOR 100ML 2019</t>
  </si>
  <si>
    <t>BASE RELAXANTE GUANIDINA INNOVATOR 200G 2019</t>
  </si>
  <si>
    <t>BASE RELAXANTE SODIUM INNOVATOR 250G 2019</t>
  </si>
  <si>
    <t>GELATINA MODELADORA INNOVATOR 280G 2019</t>
  </si>
  <si>
    <t>SERUM REMINERALIZANTE INNOVATOR 90ML 2019</t>
  </si>
  <si>
    <t>KIT HOME CARE INNOVATOR 2019</t>
  </si>
  <si>
    <t>NUTRILIPIDICA INNOVATOR 500ML</t>
  </si>
  <si>
    <t>SACHE SHAMPOO 10ML + HIDRATACAO 10G - INNOVATOR</t>
  </si>
  <si>
    <t>SHAMPOO DE RECONSTRUCAO EXTREME-UP 280ML</t>
  </si>
  <si>
    <t>SHAMPOO DE RECONSTRUCAO EXTREME-UP 500ML 2020 C/ VALVULA</t>
  </si>
  <si>
    <t>RECONSTRUCAO PROFUNDA EXTREME-UP 250G 2020</t>
  </si>
  <si>
    <t>RECONSTRUCAO PROFUNDA EXTREME-UP 500G 2020 C/ VALVULA</t>
  </si>
  <si>
    <t>REGENERADOR INSTANTANEO EXTREME-UP 500ML 2020 C/ VALVULA</t>
  </si>
  <si>
    <t>REGENERADOR INSTANTANEO EXTREME-UP 230ML COMEMORATIVA</t>
  </si>
  <si>
    <t>NUTRICAO INTENSIVA EXTREME-UP 230ML COMEMORATIVA</t>
  </si>
  <si>
    <t>CRISTAL DE QUERATINA EXTREME-UP 230ML COMEMORATIVA</t>
  </si>
  <si>
    <t>BLINDA FIOS FLUIDO TERMOATIVADO EXTREME-UP 30ML 2023</t>
  </si>
  <si>
    <t>KIT HOMECARE EXTREME-UP 2023</t>
  </si>
  <si>
    <t>KIT PROFISSIONAL EXTREME-UP 2020</t>
  </si>
  <si>
    <t>KIT PROFISSIONAL EXTREME-UP - EDICAO COMEMORATIVA</t>
  </si>
  <si>
    <t>SACHE SHAMPOO 10ML + RECONSTRUCAO 10G - EXTREME-UP</t>
  </si>
  <si>
    <t>COLOR COLORATTO RED PEPPER 0.66 60G</t>
  </si>
  <si>
    <t>COLOR COLORATTO LOURO COBRE 7.4 60G</t>
  </si>
  <si>
    <t>COLOR COLORATTO LOURO MARROM 7.7 60G</t>
  </si>
  <si>
    <t>KIT PROFISSIONAL CRONOGRAMA CAPILAR 2024</t>
  </si>
  <si>
    <t>COLORACAO ITALLIAN COLOR 60G - 00S</t>
  </si>
  <si>
    <t>COLORACAO ITALLIAN COLOR 60G - 1.0</t>
  </si>
  <si>
    <t>COLOR IC PREMIUM CAST ESCURO 3.0 60G 2022</t>
  </si>
  <si>
    <t>COLOR IC PREMIUM CAST 4.0 60G 2022</t>
  </si>
  <si>
    <t>COLOR IC PREMIUM CAST CLARO 5.0 60G 2022</t>
  </si>
  <si>
    <t>COLOR IC PREMIUM LOURO ESC 6.0 60G 2022</t>
  </si>
  <si>
    <t>COLOR IC PREMIUM LOURO 7.0 60G 2022</t>
  </si>
  <si>
    <t>COLOR IC PREMIUM LOURO CLARO 8.0 60G 2022</t>
  </si>
  <si>
    <t>COLOR IC PREMIUM LOURO CLARIS 9.0 60G 2022</t>
  </si>
  <si>
    <t>COLOR IC PREMIUM LOURO PLATINA 10.0 60G 2022</t>
  </si>
  <si>
    <t>COLOR IC PREMIUM LOURO PLATINA NATURAL CINZA 10.01</t>
  </si>
  <si>
    <t>COLOR IC PREMIUM LOURO PLATINA NAT VIOLETA 10.02</t>
  </si>
  <si>
    <t>COLOR IC PREMIUM LOURO ULTRACLARO CINZA INT 11.11</t>
  </si>
  <si>
    <t>COLOR IC PREMIUM LOURO ULTRACLARIS CINZA 12.1 60G</t>
  </si>
  <si>
    <t>COLOR IC PREMIUM LOIRO ULTRACLARISSIMO CINZA INTENSO 12.11 60G</t>
  </si>
  <si>
    <t>COLOR IC PREMIUM LOURO ULTRACLARIS VIOLETA 12.2 60</t>
  </si>
  <si>
    <t>COLOR IC PREMIUM LOURO ULTRACLARIS PEROLA 12.89 60</t>
  </si>
  <si>
    <t>COLOR IC PREMIUM PRETO AZULADO 2.1 60G 2022</t>
  </si>
  <si>
    <t>COLOR IC PREMIUM CAST PLUS 4.00 60G 2022</t>
  </si>
  <si>
    <t>COLOR IC PREMIUM CAST CINZA 4.1 60G 2022</t>
  </si>
  <si>
    <t>COLOR IC PREMIUM CAST CLARO PLUS 5.00 60G 2022</t>
  </si>
  <si>
    <t>COLOR IC PREMIUM CAST CLARO CINZA 5.1 60G 2022</t>
  </si>
  <si>
    <t>COLOR IC PREMIUM CAST CLARO CINZA MARROM 5.17 60G</t>
  </si>
  <si>
    <t>COLOR IC PREMIUM CAST CLARO VIOLETA NATURAL 5.20</t>
  </si>
  <si>
    <t>COLOR IC PREMIUM CAST CLARO DOURADO 5.3 60G 2022</t>
  </si>
  <si>
    <t>COLOR IC PREMIUM CAST CLARO DOURADO COBRE 5.34 60G</t>
  </si>
  <si>
    <t>COLOR IC PREMIUM CAST CLARO COBRE CINZA 5.41 60G</t>
  </si>
  <si>
    <t>COLOR IC PREMIUM CAST CLARO MOGNO 5.5 60G 2022</t>
  </si>
  <si>
    <t>COLOR IC PREMIUM CAST CLARO VERMELHO VIOLETA 5.62</t>
  </si>
  <si>
    <t>COLOR IC PREMIUM CAST CLARO MARROM 5.7 60G 2022</t>
  </si>
  <si>
    <t>COLOR IC PREMIUM LOURO ESC PLUS 6.00 60G 2022</t>
  </si>
  <si>
    <t>COLOR IC PREMIUM LOURO ESC CINZA 6.1 60G 2022</t>
  </si>
  <si>
    <t>COLOR IC PREMIUM LOURO ESC CINZA DOU 6.13 60G 2022</t>
  </si>
  <si>
    <t>COLOR IC PREMIUM LOURO ESC CINZA MARROM 6.17 60G</t>
  </si>
  <si>
    <t>COLOR IC PREMIUM LOURO ESC VIOL VERM (MARSALA PLUS</t>
  </si>
  <si>
    <t>COLOR IC PREMIUM LOURO ESC DOURADO 6.3 60G 2022</t>
  </si>
  <si>
    <t>COLOR IC PREMIUM LOURO ESCURO DOURADO CINZA 6.31 6</t>
  </si>
  <si>
    <t>COLOR IC PREMIUM LOURO ESC DOURADO COBRE 6.34 60G</t>
  </si>
  <si>
    <t>COLOR IC PREMIUM LOURO ESC COBRE 6.4 60G 2022</t>
  </si>
  <si>
    <t>COLOR IC PREMIUM LOURO ESCURO COBRE CINZA 6.41 60G</t>
  </si>
  <si>
    <t>COLOR IC PREMIUM LOURO ESC COBRE DOU 6.43 60G 2022</t>
  </si>
  <si>
    <t>COLOR IC PREMIUM LOURO ESC VERM NATURAL 6.60 60G</t>
  </si>
  <si>
    <t>COLOR IC PREMIUM LOURO ESC VERM VIOLETA 6.62 60G</t>
  </si>
  <si>
    <t>COLOR IC PREMIUM LOIRO ESCURO VERMELHO INTENSO 6.66 60G</t>
  </si>
  <si>
    <t>COLOR IC PREMIUM LOURO ESC MARROM 6.7 60G 2022</t>
  </si>
  <si>
    <t>COLOR IC PREMIUM LOIRO ESCURO MOCHA MOUSSE 6.713 60G 2025</t>
  </si>
  <si>
    <t>COLOR IC PREMIUM LOIRO ESCURO MORENA ILUMINADA 6.74 60G 2023</t>
  </si>
  <si>
    <t>COLOR IC PREMIUM LOIRO ESCURO MARROM INTENSO 6.77 60G</t>
  </si>
  <si>
    <t>COLOR IC PREMIUM LOURO PLUS 7.00 60G 2022</t>
  </si>
  <si>
    <t>COLOR IC PREMIUM LOURO CINZA 7.1 60G 2022</t>
  </si>
  <si>
    <t>COLOR IC PREMIUM LOURO CINZA DOURADO 7.13 60G 2022</t>
  </si>
  <si>
    <t>COLOR IC PREMIUM LOURO CINZA MARROM 7.17 60G 2022</t>
  </si>
  <si>
    <t>COLOR IC PREMIUM LOURO DOU 7.3 60G 2022</t>
  </si>
  <si>
    <t>COLOR IC PREMIUM LOURO DOU CINZA 7.31 60G 2022</t>
  </si>
  <si>
    <t>COLOR IC PREMIUM LOURO DOURADO COBRE 7.34 60G 2022</t>
  </si>
  <si>
    <t>COLOR IC PREMIUM LOIRO MORENA ILUMINADA 7.37 60G 2023</t>
  </si>
  <si>
    <t>COLOR IC PREMIUM LOURO COBRE 7.4 60G 2022</t>
  </si>
  <si>
    <t>COLOR IC PREMIUM LOURO COBRE NATURAL 7.40 60G 2022</t>
  </si>
  <si>
    <t>COLOR IC PREMIUM LOURO COBRE INTENSO 7.44 60G 2022</t>
  </si>
  <si>
    <t>COLOR IC PREMIUM LOURO VERM INTENSO 7.66 60G 2022</t>
  </si>
  <si>
    <t>COLOR IC PREMIUM LOURO MARROM 7.7 60G 2022</t>
  </si>
  <si>
    <t>COLOR IC PREMIUM LOURO PEROLA 7.89 60G 2022</t>
  </si>
  <si>
    <t>COLOR IC PREMIUM LOURO CLARO PLUS 8.00 60G 2022</t>
  </si>
  <si>
    <t>COLOR IC PREMIUM LOURO CLARO CINZA 8.1 60G 2022</t>
  </si>
  <si>
    <t>COLOR IC PREMIUM LOURO CLARO CINZA INT 8.11 60G</t>
  </si>
  <si>
    <t>COLOR IC PREMIUM LOURO CLARO CINZA VIOLETA 8.12 60</t>
  </si>
  <si>
    <t>COLOR IC PREMIUM LOURO CLARO CINZA DOU 8.13 60G</t>
  </si>
  <si>
    <t>COLOR IC PREMIUM LOURO CLARO CINZA MARROM 8.17 60G</t>
  </si>
  <si>
    <t>COLOR IC PREMIUM LOURO CLARO DOU 8.3 60G 2022</t>
  </si>
  <si>
    <t>COLOR IC PREMIUM LOURO CLARO DOU CINZA 8.31 60G</t>
  </si>
  <si>
    <t>COLOR IC PREMIUM LOURO CLARO COBRE DOURADO 8.43 60</t>
  </si>
  <si>
    <t>COLOR IC PREMIUM LOURO CLARO COBRE INT 8.44 60G</t>
  </si>
  <si>
    <t>COLOR IC PREMIUM LOIRO CLARO MORENA ILUMINADA 8.75 60G 2023</t>
  </si>
  <si>
    <t>COLOR IC PREMIUM LOURO CLARO PEROLA 8.89 60G 2022</t>
  </si>
  <si>
    <t>COLOR IC PREMIUM LOURO CLARIS CINZA 9.1 60G 2022</t>
  </si>
  <si>
    <t>COLOR IC PREMIUM LOURO CLARIS CINZA DOU 9.13 60G</t>
  </si>
  <si>
    <t>COLOR IC PREMIUM LOURO CLARIS CINZA MARROM 9.17</t>
  </si>
  <si>
    <t>COLOR IC PREMIUM LOIRO CLARISSIMO VIOLETA CINZA 9.21 60G</t>
  </si>
  <si>
    <t>COLOR IC PREMIUM LOURO CLARIS DOU 9.3 60G 2022</t>
  </si>
  <si>
    <t>COLOR IC PREMIUM LOURO CLARIS DOU CINZA 9.31 60G</t>
  </si>
  <si>
    <t>COLOR IC PREMIUM LOURO CLARIS PEROLA 9.89 60G 2022</t>
  </si>
  <si>
    <t>COLOR IC PREMIUM CORRETOR AZUL CB 60G 2022</t>
  </si>
  <si>
    <t>COLOR IC PREMIUM CORRETOR CINZA CZ 60G 2022</t>
  </si>
  <si>
    <t>DESCOLORANTE ITALLIAN COLOR 400G 2022</t>
  </si>
  <si>
    <t>DESCOLORANTE - ITALLIAN COLOR 300G REFIL 2022</t>
  </si>
  <si>
    <t>DESCOLORANTE DUST FREE ITALLIAN COLOR 400G 2022</t>
  </si>
  <si>
    <t>DESCOLORANTE PREMIUM POWDER ITALLIAN COLOR 400G 2022</t>
  </si>
  <si>
    <t>DESCOLORANTE ITALLIAN COLOR POUCH 600G 2023</t>
  </si>
  <si>
    <t>OXIDANTE 06 VOL ITALLIAN COLOR 100ML 2022</t>
  </si>
  <si>
    <t>OXIDANTE 20 VOL ITALLIAN COLOR 100ML 2022</t>
  </si>
  <si>
    <t>OXIDANTE 30 VOL ITALLIAN COLOR 100ML 2022</t>
  </si>
  <si>
    <t>OXIDANTE 40 VOL ITALLIAN COLOR 100ML 2022</t>
  </si>
  <si>
    <t>OXIDANTE 06 VOL ITALLIAN COLOR 90ML 2024</t>
  </si>
  <si>
    <t>OXIDANTE 20 VOL ITALLIAN COLOR 90ML 2024</t>
  </si>
  <si>
    <t>OXIDANTE 30 VOL ITALLIAN COLOR 90ML 2024</t>
  </si>
  <si>
    <t>OXIDANTE 40 VOL ITALLIAN COLOR 90ML 2024</t>
  </si>
  <si>
    <t>SHAMPOO HIDRATANTE ITALLIAN COLOR 250ML 2022</t>
  </si>
  <si>
    <t>SHAMPOO HIDRATANTE ITALLIAN COLOR 250ML - SOCIAL</t>
  </si>
  <si>
    <t>SHAMPOO HIDRATANTE ITALLIAN COLOR 2,5L 2025 C/ TAMPA</t>
  </si>
  <si>
    <t>HIDRATACAO ITALLIAN COLOR 200G 2022</t>
  </si>
  <si>
    <t>KIT HOMECARE ITALLIAN COLOR - SOCIAL</t>
  </si>
  <si>
    <t>CONDICIONADOR HIDRATANTE ITALLIAN COLOR 200G - SOCIAL</t>
  </si>
  <si>
    <t>CONDICIONADOR HIDRATANTE ITALLIAN COLOR 2,5L 2025 C/ TAMPA</t>
  </si>
  <si>
    <t>SACHE SHAMPOO 10ML + HIDRATACAO 10G - ITALLIAN COLOR</t>
  </si>
  <si>
    <t>SACHE ITALLIAN DESCOLORANTE 50G</t>
  </si>
  <si>
    <t>COLORACAO IC SEM AMONIA 0 DILUIDOR 60G 2026</t>
  </si>
  <si>
    <t>COLORACAO IC SEM AMONIA 0.03 INTENSIFICADOR DOURADO 60G 2026</t>
  </si>
  <si>
    <t>COLORACAO IC SEM AMONIA 0.06 INTENSIFICADOR PINK 60G 2026</t>
  </si>
  <si>
    <t>COLORACAO IC SEM AMONIA 1.0 PRETO 60G 2026</t>
  </si>
  <si>
    <t>COLORACAO IC SEM AMONIA 0.20 PURPLE 60G 2026</t>
  </si>
  <si>
    <t>COLORACAO IC SEM AMONIA 3.0 CASTANHO ESCURO 60G 2026</t>
  </si>
  <si>
    <t>COLORACAO IC SEM AMONIA 4.0 CASTANHO 60G 2026</t>
  </si>
  <si>
    <t>COLORACAO IC SEM AMONIA 0.40 ORANGE 60G 2026</t>
  </si>
  <si>
    <t>COLORACAO IC SEM AMONIA 5.0 CASTANHO CLARO 60G 2026</t>
  </si>
  <si>
    <t>COLORACAO IC SEM AMONIA 6.0 LOIRO ESCURO 60G 2026</t>
  </si>
  <si>
    <t>COLORACAO IC SEM AMONIA 0.66 RED 60G 2026</t>
  </si>
  <si>
    <t>COLORACAO IC SEM AMONIA 7.0 LOIRO 60G 2026</t>
  </si>
  <si>
    <t>COLORACAO IC SEM AMONIA 8.0 LOIRO CLARO 60G 2026</t>
  </si>
  <si>
    <t>COLORACAO IC SEM AMONIA 10.1 LOIRO PLATINA CINZA 60G 2026</t>
  </si>
  <si>
    <t>COLORACAO IC SEM AMONIA 10.2 LOIRO PLATINA VIOLETA 60G 2026</t>
  </si>
  <si>
    <t>COLORACAO IC SEM AMONIA 10.89 LOIRO PLATINA PEROLA 60G 2026</t>
  </si>
  <si>
    <t>COLORACAO IC SEM AMONIA 6.1 LOIRO ESCURO CINZA 60G 2026</t>
  </si>
  <si>
    <t>COLORACAO IC SEM AMONIA 6.3 LOIRO ESCURO DOURADO 60G 2026</t>
  </si>
  <si>
    <t>COLORACAO IC SEM AMONIA 6.41 LOIRO ESCURO COBRE CINZA 60G 2026</t>
  </si>
  <si>
    <t>COLORACAO IC SEM AMONIA 6.7 LOIRO ESCURO MARROM 60G 2026</t>
  </si>
  <si>
    <t>COLORACAO IC SEM AMONIA 7.1 LOIRO CINZA 60G 2026</t>
  </si>
  <si>
    <t>COLORACAO IC SEM AMONIA 7.4 LOIRO COBRE 60G 2026</t>
  </si>
  <si>
    <t>COLORACAO IC SEM AMONIA 7.7 LOIRO MARROM 60G 2026</t>
  </si>
  <si>
    <t>COLORACAO IC SEM AMONIA 8.1 LOIRO CLARO CINZA 60G 2026</t>
  </si>
  <si>
    <t>COLORACAO IC SEM AMONIA 8.32 LOIRO CLARO DOURADO VIOLETA 60G 2026</t>
  </si>
  <si>
    <t>COLORACAO IC SEM AMONIA 8.4 LOIRO CLARO COBRE 60G 2026</t>
  </si>
  <si>
    <t>COLORACAO IC SEM AMONIA 9.1 LOIRO CLARISSIMO CINZA 60G 2026</t>
  </si>
  <si>
    <t>COLORACAO IC SEM AMONIA 9.3 LOIRO CLARISSIMO DOURADO 60G 2026</t>
  </si>
  <si>
    <t>COLORACAO IC SEM AMONIA 9.34 LOIRO CLARISSIMO MORENA ILUMINADA 60</t>
  </si>
  <si>
    <t>KIT COLOR SHIFT COLLECTION - IC SEM AMONIA</t>
  </si>
  <si>
    <t>Codigo Produto</t>
  </si>
  <si>
    <t xml:space="preserve">Produto </t>
  </si>
  <si>
    <t xml:space="preserve">Desconto </t>
  </si>
  <si>
    <t xml:space="preserve">Desconto Aplicado </t>
  </si>
  <si>
    <t xml:space="preserve">Valor </t>
  </si>
  <si>
    <t xml:space="preserve">Quantidade </t>
  </si>
  <si>
    <t xml:space="preserve">Total </t>
  </si>
  <si>
    <t xml:space="preserve">Campanhas </t>
  </si>
  <si>
    <t xml:space="preserve">Valor Total </t>
  </si>
  <si>
    <t>Hidratação Intensiva 500g</t>
  </si>
  <si>
    <t>Fluido para Escova 300ml</t>
  </si>
  <si>
    <t>O Segredo do Cabeleireiro 300ml</t>
  </si>
  <si>
    <t>Trivitt Sun 120ml</t>
  </si>
  <si>
    <t>Power Dose Ácido Hialurônico (Unidade)</t>
  </si>
  <si>
    <t>Kit Home Care Leave-in</t>
  </si>
  <si>
    <t>Kit Home Care Ácido Hialurônico</t>
  </si>
  <si>
    <t>Kit Home Care Uso Diário</t>
  </si>
  <si>
    <t>Fluido para Ondas 200ml</t>
  </si>
  <si>
    <t>Trivitt Glow 110ml</t>
  </si>
  <si>
    <t>Shampoo Nutritivo 1L</t>
  </si>
  <si>
    <t>Nutrição Intensiva 1kg</t>
  </si>
  <si>
    <t>Máscara Líquida de Nutrição 110ml</t>
  </si>
  <si>
    <t>Kit Home Care Nutrição</t>
  </si>
  <si>
    <t>Blinda Fios 200ml</t>
  </si>
  <si>
    <t>Kit Home Care Extreme-up</t>
  </si>
  <si>
    <t>Hidratação Matizante 500g</t>
  </si>
  <si>
    <t>Fluido para Escova Matizante 200ml</t>
  </si>
  <si>
    <t>Kit Home Care Matizante</t>
  </si>
  <si>
    <t>Sérum Matizante 30ml</t>
  </si>
  <si>
    <t>Kit Home Care Cronograma Capilar</t>
  </si>
  <si>
    <t>Base Protetora</t>
  </si>
  <si>
    <t>Hair Spray 300ml</t>
  </si>
  <si>
    <t>Spray Brilho Intenso 300ml</t>
  </si>
  <si>
    <t xml:space="preserve">Kit Home Care Color Protection </t>
  </si>
  <si>
    <t xml:space="preserve">500 a 1.000 tubos — 13% 
1.000 a 1.500 tubos — 16% 
1.500 a 2.300 tubos — 19% 
2.300 a 3.500 tubos — 22% 
Acima de 3.500 tubos — 25% </t>
  </si>
  <si>
    <t xml:space="preserve">A partir de 60 un — 10% 
A partir de 120 un — 12% 
A partir de 180 un — 15% </t>
  </si>
  <si>
    <t>Acima de R$ 10.000 — 5%
Acima de R$ 20.000 — 8%
Acima de R$ 30.000 — 10%</t>
  </si>
  <si>
    <t>-----</t>
  </si>
  <si>
    <t xml:space="preserve">Total Pedido </t>
  </si>
  <si>
    <t>Total Campanhas</t>
  </si>
  <si>
    <t>Total Fora Campanhas</t>
  </si>
  <si>
    <t>Total</t>
  </si>
  <si>
    <t>1 de Setembro de 2026 - 10:40hs Terca-Feira</t>
  </si>
  <si>
    <t>Imprime o Pedido</t>
  </si>
  <si>
    <t xml:space="preserve">Pedido </t>
  </si>
  <si>
    <t>Ações Efetuadas no Pedido: 931.237</t>
  </si>
  <si>
    <t>Data</t>
  </si>
  <si>
    <t>Hora</t>
  </si>
  <si>
    <t>Operador</t>
  </si>
  <si>
    <t>Código</t>
  </si>
  <si>
    <t>Ação</t>
  </si>
  <si>
    <t>Visualiza N.F.</t>
  </si>
  <si>
    <t>V003</t>
  </si>
  <si>
    <t>IV</t>
  </si>
  <si>
    <t>Iniciou a Venda Interna</t>
  </si>
  <si>
    <t xml:space="preserve">  Adicionar ações</t>
  </si>
  <si>
    <t xml:space="preserve">Dados </t>
  </si>
  <si>
    <t>Pedido Cliente: 858.424</t>
  </si>
  <si>
    <t>Pedido Interno 931.237 01/09/2026 V-Pedido de Venda - SA</t>
  </si>
  <si>
    <t>Cliente:</t>
  </si>
  <si>
    <t>14180 RARVEL STORE LTDA</t>
  </si>
  <si>
    <t>CNPJ:</t>
  </si>
  <si>
    <t>38.387.123/0001-08</t>
  </si>
  <si>
    <t>I.E.</t>
  </si>
  <si>
    <t>Endereço:</t>
  </si>
  <si>
    <t>AVENIDA LEMOS MONTEIRO OLIMPICO</t>
  </si>
  <si>
    <t>CEP/Cidade/UF:</t>
  </si>
  <si>
    <t>09540500 SAO CAETANO DO SUL SP</t>
  </si>
  <si>
    <t>Vendedor:</t>
  </si>
  <si>
    <t>S079 - MAURICIO FUJITA</t>
  </si>
  <si>
    <t xml:space="preserve">Itens </t>
  </si>
  <si>
    <t>Seq</t>
  </si>
  <si>
    <t>Código DZYON</t>
  </si>
  <si>
    <t>Catalogo</t>
  </si>
  <si>
    <t>Nome do Produto</t>
  </si>
  <si>
    <t>ST</t>
  </si>
  <si>
    <t>Preço</t>
  </si>
  <si>
    <t>Tabela</t>
  </si>
  <si>
    <t>%</t>
  </si>
  <si>
    <t>Descto</t>
  </si>
  <si>
    <t>Valor</t>
  </si>
  <si>
    <t>Unitário</t>
  </si>
  <si>
    <t>Negociação</t>
  </si>
  <si>
    <t>Negociado</t>
  </si>
  <si>
    <t>Diretoria</t>
  </si>
  <si>
    <t>Qtd</t>
  </si>
  <si>
    <t>Liquido</t>
  </si>
  <si>
    <t>16.03.18.002</t>
  </si>
  <si>
    <t>OXIDANTE 20 VOL ITALLIAN COLOR 1L 2022</t>
  </si>
  <si>
    <t>AB</t>
  </si>
  <si>
    <t>16.02.17.006</t>
  </si>
  <si>
    <t>PO DESCOLORANTE ITALLIAN COLOR POUCH 400G 2026</t>
  </si>
  <si>
    <t>02.05.08.080</t>
  </si>
  <si>
    <t>02.05.08.087</t>
  </si>
  <si>
    <t>HIDRATACAO INTENSIVA TRIVITT 500G 2025</t>
  </si>
  <si>
    <t>02.07.12.078</t>
  </si>
  <si>
    <t>FLUIDO P/ ESCOVA TRIVITT 300ML 2023</t>
  </si>
  <si>
    <t>Total Qtd:</t>
  </si>
  <si>
    <t xml:space="preserve">Instruções </t>
  </si>
  <si>
    <t xml:space="preserve"> </t>
  </si>
  <si>
    <t>Instruções</t>
  </si>
  <si>
    <t>homeDetalhe do pedido</t>
  </si>
  <si>
    <t>Senha</t>
  </si>
  <si>
    <t>Sair</t>
  </si>
  <si>
    <t>mesma qtd</t>
  </si>
  <si>
    <t>42 a 83 ox - 13%</t>
  </si>
  <si>
    <t>83 a 125 ox - 16%</t>
  </si>
  <si>
    <t>125 a 192 ox - 19%</t>
  </si>
  <si>
    <t>192 a 292 ox - 22%</t>
  </si>
  <si>
    <t>acima de 292 - 25%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</si>
</sst>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/>
    <xf numFmtId="20" fontId="0" fillId="0" borderId="0" xfId="0" applyNumberFormat="1"/>
    <xf numFmtId="10" fontId="0" fillId="0" borderId="0" xfId="0" applyNumberFormat="1"/>
    <xf numFmtId="8" fontId="0" fillId="0" borderId="0" xfId="0" applyNumberFormat="1"/>
    <xf numFmtId="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9" fontId="0" fillId="0" borderId="0" xfId="0" quotePrefix="1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4" fontId="0" fillId="0" borderId="0" xfId="0" applyNumberForma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9" fontId="0" fillId="2" borderId="0" xfId="0" applyNumberFormat="1" applyFill="1" applyAlignment="1">
      <alignment vertical="center"/>
    </xf>
    <xf numFmtId="1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gem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6336-791D-471D-BE58-CB7E721E1CBB}">
  <dimension ref="A1:S87"/>
  <sheetViews>
    <sheetView topLeftCell="B10" workbookViewId="0">
      <selection activeCell="L33" sqref="L33"/>
    </sheetView>
  </sheetViews>
  <sheetFormatPr defaultRowHeight="15" x14ac:dyDescent="0.25"/>
  <cols>
    <col min="1" max="1" width="74.5703125" bestFit="1" customWidth="1"/>
    <col min="2" max="2" width="56.42578125" bestFit="1" customWidth="1"/>
    <col min="3" max="3" width="11.7109375" bestFit="1" customWidth="1"/>
    <col min="4" max="4" width="53.5703125" bestFit="1" customWidth="1"/>
    <col min="5" max="5" width="38" bestFit="1" customWidth="1"/>
    <col min="6" max="6" width="16.28515625" bestFit="1" customWidth="1"/>
    <col min="7" max="7" width="13.28515625" bestFit="1" customWidth="1"/>
    <col min="8" max="8" width="7" bestFit="1" customWidth="1"/>
    <col min="9" max="9" width="8.140625" bestFit="1" customWidth="1"/>
    <col min="10" max="10" width="11.5703125" bestFit="1" customWidth="1"/>
    <col min="11" max="11" width="10.5703125" bestFit="1" customWidth="1"/>
    <col min="12" max="12" width="10.7109375" bestFit="1" customWidth="1"/>
    <col min="13" max="13" width="4.140625" bestFit="1" customWidth="1"/>
    <col min="14" max="14" width="7.5703125" bestFit="1" customWidth="1"/>
    <col min="15" max="15" width="7" bestFit="1" customWidth="1"/>
  </cols>
  <sheetData>
    <row r="1" spans="1:6" x14ac:dyDescent="0.25">
      <c r="A1" t="s">
        <v>280</v>
      </c>
    </row>
    <row r="2" spans="1:6" x14ac:dyDescent="0.25">
      <c r="A2" t="s">
        <v>281</v>
      </c>
    </row>
    <row r="3" spans="1:6" x14ac:dyDescent="0.25">
      <c r="A3" t="s">
        <v>282</v>
      </c>
    </row>
    <row r="4" spans="1:6" x14ac:dyDescent="0.25">
      <c r="A4" t="s">
        <v>283</v>
      </c>
    </row>
    <row r="5" spans="1:6" x14ac:dyDescent="0.25">
      <c r="A5" t="s">
        <v>284</v>
      </c>
      <c r="B5" t="s">
        <v>285</v>
      </c>
      <c r="C5" t="s">
        <v>286</v>
      </c>
      <c r="D5" t="s">
        <v>287</v>
      </c>
      <c r="E5" t="s">
        <v>288</v>
      </c>
      <c r="F5" t="s">
        <v>289</v>
      </c>
    </row>
    <row r="6" spans="1:6" x14ac:dyDescent="0.25">
      <c r="A6" s="7">
        <v>46266</v>
      </c>
      <c r="B6" s="8">
        <v>0.3659722222222222</v>
      </c>
      <c r="C6" t="s">
        <v>290</v>
      </c>
      <c r="D6" t="s">
        <v>291</v>
      </c>
      <c r="E6" s="7" t="s">
        <v>292</v>
      </c>
      <c r="F6" s="8"/>
    </row>
    <row r="7" spans="1:6" x14ac:dyDescent="0.25">
      <c r="A7" s="7" t="s">
        <v>293</v>
      </c>
      <c r="B7" s="8"/>
      <c r="E7" s="7"/>
      <c r="F7" s="8"/>
    </row>
    <row r="8" spans="1:6" x14ac:dyDescent="0.25">
      <c r="A8" s="7"/>
      <c r="B8" s="8"/>
    </row>
    <row r="9" spans="1:6" x14ac:dyDescent="0.25">
      <c r="A9" s="7" t="s">
        <v>294</v>
      </c>
      <c r="B9" s="8"/>
    </row>
    <row r="10" spans="1:6" x14ac:dyDescent="0.25">
      <c r="A10" s="7" t="s">
        <v>295</v>
      </c>
      <c r="B10" s="8"/>
    </row>
    <row r="11" spans="1:6" x14ac:dyDescent="0.25">
      <c r="A11" s="7" t="s">
        <v>296</v>
      </c>
      <c r="B11" s="8"/>
    </row>
    <row r="12" spans="1:6" x14ac:dyDescent="0.25">
      <c r="A12" s="7" t="s">
        <v>297</v>
      </c>
      <c r="B12" s="8" t="s">
        <v>298</v>
      </c>
    </row>
    <row r="13" spans="1:6" x14ac:dyDescent="0.25">
      <c r="A13" s="7" t="s">
        <v>299</v>
      </c>
      <c r="B13" s="8" t="s">
        <v>300</v>
      </c>
      <c r="C13" t="s">
        <v>301</v>
      </c>
      <c r="D13">
        <v>636428822110</v>
      </c>
    </row>
    <row r="14" spans="1:6" x14ac:dyDescent="0.25">
      <c r="A14" t="s">
        <v>302</v>
      </c>
      <c r="B14" t="s">
        <v>303</v>
      </c>
    </row>
    <row r="15" spans="1:6" x14ac:dyDescent="0.25">
      <c r="A15" t="s">
        <v>304</v>
      </c>
      <c r="B15" t="s">
        <v>305</v>
      </c>
    </row>
    <row r="16" spans="1:6" x14ac:dyDescent="0.25">
      <c r="A16" t="s">
        <v>306</v>
      </c>
      <c r="B16" t="s">
        <v>307</v>
      </c>
    </row>
    <row r="18" spans="1:19" x14ac:dyDescent="0.25">
      <c r="A18" t="s">
        <v>308</v>
      </c>
    </row>
    <row r="19" spans="1:19" x14ac:dyDescent="0.25">
      <c r="A19" t="s">
        <v>309</v>
      </c>
      <c r="B19" t="s">
        <v>310</v>
      </c>
      <c r="C19" t="s">
        <v>311</v>
      </c>
      <c r="D19" t="s">
        <v>312</v>
      </c>
      <c r="E19" t="s">
        <v>313</v>
      </c>
      <c r="F19" t="s">
        <v>314</v>
      </c>
    </row>
    <row r="20" spans="1:19" x14ac:dyDescent="0.25">
      <c r="A20" t="s">
        <v>315</v>
      </c>
      <c r="B20" t="s">
        <v>316</v>
      </c>
    </row>
    <row r="21" spans="1:19" x14ac:dyDescent="0.25">
      <c r="A21" t="s">
        <v>317</v>
      </c>
      <c r="B21" t="s">
        <v>316</v>
      </c>
    </row>
    <row r="22" spans="1:19" x14ac:dyDescent="0.25">
      <c r="A22" t="s">
        <v>317</v>
      </c>
      <c r="G22" s="9"/>
      <c r="H22" s="9"/>
      <c r="J22" s="9"/>
      <c r="K22" s="9"/>
      <c r="L22" s="9"/>
      <c r="N22" s="9"/>
      <c r="P22" s="9"/>
    </row>
    <row r="23" spans="1:19" x14ac:dyDescent="0.25">
      <c r="A23" t="s">
        <v>313</v>
      </c>
      <c r="B23" t="s">
        <v>318</v>
      </c>
      <c r="G23" s="9"/>
      <c r="H23" s="9"/>
      <c r="J23" s="9"/>
      <c r="K23" s="9"/>
      <c r="L23" s="9"/>
      <c r="N23" s="9"/>
      <c r="P23" s="9"/>
    </row>
    <row r="24" spans="1:19" x14ac:dyDescent="0.25">
      <c r="A24" t="s">
        <v>319</v>
      </c>
      <c r="B24" t="s">
        <v>316</v>
      </c>
      <c r="G24" s="9"/>
      <c r="H24" s="9"/>
      <c r="J24" s="9"/>
      <c r="K24" s="9"/>
      <c r="L24" s="9"/>
      <c r="N24" s="9"/>
      <c r="P24" s="9"/>
    </row>
    <row r="25" spans="1:19" x14ac:dyDescent="0.25">
      <c r="A25" t="s">
        <v>320</v>
      </c>
      <c r="B25" t="s">
        <v>318</v>
      </c>
      <c r="G25" s="9"/>
      <c r="H25" s="9"/>
      <c r="J25" s="9"/>
      <c r="K25" s="9"/>
      <c r="L25" s="9"/>
      <c r="N25" s="9"/>
      <c r="O25" s="21"/>
      <c r="P25" s="9"/>
      <c r="S25" s="21"/>
    </row>
    <row r="26" spans="1:19" x14ac:dyDescent="0.25">
      <c r="A26" t="s">
        <v>321</v>
      </c>
      <c r="B26" t="s">
        <v>316</v>
      </c>
      <c r="G26" s="9"/>
      <c r="H26" s="9"/>
      <c r="J26" s="9"/>
      <c r="K26" s="9"/>
      <c r="L26" s="9"/>
      <c r="N26" s="9"/>
      <c r="P26" s="9"/>
    </row>
    <row r="27" spans="1:19" x14ac:dyDescent="0.25">
      <c r="A27" t="s">
        <v>322</v>
      </c>
      <c r="B27" t="s">
        <v>323</v>
      </c>
      <c r="C27" t="s">
        <v>318</v>
      </c>
      <c r="G27" s="9"/>
      <c r="H27" s="9"/>
      <c r="J27" s="9"/>
      <c r="K27" s="9"/>
      <c r="L27" s="9"/>
      <c r="N27" s="9"/>
      <c r="P27" s="9"/>
    </row>
    <row r="28" spans="1:19" x14ac:dyDescent="0.25">
      <c r="A28" t="s">
        <v>324</v>
      </c>
      <c r="B28" t="s">
        <v>318</v>
      </c>
      <c r="G28" s="9"/>
      <c r="H28" s="9"/>
      <c r="J28" s="9"/>
      <c r="K28" s="9"/>
      <c r="L28" s="9"/>
      <c r="N28" s="9"/>
      <c r="P28" s="9"/>
    </row>
    <row r="29" spans="1:19" x14ac:dyDescent="0.25">
      <c r="A29" t="s">
        <v>279</v>
      </c>
      <c r="G29" s="9"/>
      <c r="H29" s="9"/>
      <c r="J29" s="9"/>
      <c r="K29" s="9"/>
      <c r="L29" s="9"/>
      <c r="N29" s="9"/>
      <c r="P29" s="9"/>
    </row>
    <row r="30" spans="1:19" x14ac:dyDescent="0.25">
      <c r="A30">
        <v>1</v>
      </c>
      <c r="B30">
        <v>405507</v>
      </c>
      <c r="C30" t="s">
        <v>325</v>
      </c>
      <c r="D30" t="s">
        <v>326</v>
      </c>
      <c r="E30" t="s">
        <v>327</v>
      </c>
      <c r="F30">
        <v>50.09</v>
      </c>
      <c r="G30" s="9">
        <v>0.3</v>
      </c>
      <c r="H30" s="9">
        <v>0</v>
      </c>
      <c r="I30">
        <v>35.06</v>
      </c>
      <c r="J30" s="9">
        <v>0</v>
      </c>
      <c r="K30" s="9">
        <v>35.06</v>
      </c>
      <c r="L30" s="9">
        <v>0</v>
      </c>
      <c r="M30">
        <v>102</v>
      </c>
      <c r="N30" s="9">
        <v>35.06</v>
      </c>
      <c r="O30" s="21">
        <v>3576.12</v>
      </c>
      <c r="P30" s="9"/>
    </row>
    <row r="31" spans="1:19" x14ac:dyDescent="0.25">
      <c r="A31">
        <v>2</v>
      </c>
      <c r="B31">
        <v>405741</v>
      </c>
      <c r="C31" t="s">
        <v>328</v>
      </c>
      <c r="D31" t="s">
        <v>329</v>
      </c>
      <c r="E31" t="s">
        <v>327</v>
      </c>
      <c r="F31">
        <v>65.38</v>
      </c>
      <c r="G31" s="9">
        <v>0.3</v>
      </c>
      <c r="H31" s="9">
        <v>0</v>
      </c>
      <c r="I31">
        <v>45.77</v>
      </c>
      <c r="J31" s="9">
        <v>0</v>
      </c>
      <c r="K31" s="9">
        <v>45.77</v>
      </c>
      <c r="L31" s="9">
        <v>0.05</v>
      </c>
      <c r="M31">
        <v>102</v>
      </c>
      <c r="N31" s="9">
        <v>45.77</v>
      </c>
      <c r="O31" s="21">
        <v>4668.54</v>
      </c>
      <c r="P31" s="9"/>
    </row>
    <row r="32" spans="1:19" x14ac:dyDescent="0.25">
      <c r="A32">
        <v>3</v>
      </c>
      <c r="B32">
        <v>405619</v>
      </c>
      <c r="C32" t="s">
        <v>330</v>
      </c>
      <c r="D32" t="s">
        <v>30</v>
      </c>
      <c r="E32" t="s">
        <v>327</v>
      </c>
      <c r="F32">
        <v>97.15</v>
      </c>
      <c r="G32" s="9">
        <v>0.3</v>
      </c>
      <c r="H32" s="9">
        <v>0</v>
      </c>
      <c r="I32">
        <v>68.010000000000005</v>
      </c>
      <c r="J32" s="9">
        <v>0</v>
      </c>
      <c r="K32" s="9">
        <v>68.010000000000005</v>
      </c>
      <c r="L32" s="9">
        <v>0.05</v>
      </c>
      <c r="M32">
        <v>102</v>
      </c>
      <c r="N32" s="9">
        <v>68.010000000000005</v>
      </c>
      <c r="O32" s="21">
        <v>6937.02</v>
      </c>
      <c r="P32" s="9"/>
    </row>
    <row r="33" spans="1:16" x14ac:dyDescent="0.25">
      <c r="A33">
        <v>4</v>
      </c>
      <c r="B33">
        <v>405686</v>
      </c>
      <c r="C33" t="s">
        <v>331</v>
      </c>
      <c r="D33" t="s">
        <v>332</v>
      </c>
      <c r="E33" t="s">
        <v>327</v>
      </c>
      <c r="F33">
        <v>70.13</v>
      </c>
      <c r="G33" s="9">
        <v>0.3</v>
      </c>
      <c r="H33" s="9">
        <v>0</v>
      </c>
      <c r="I33">
        <v>49.09</v>
      </c>
      <c r="J33" s="9">
        <v>0</v>
      </c>
      <c r="K33" s="9">
        <v>49.09</v>
      </c>
      <c r="L33" s="9">
        <v>0</v>
      </c>
      <c r="M33">
        <v>102</v>
      </c>
      <c r="N33" s="9">
        <v>49.09</v>
      </c>
      <c r="O33" s="21">
        <v>5007.18</v>
      </c>
      <c r="P33" s="9"/>
    </row>
    <row r="34" spans="1:16" x14ac:dyDescent="0.25">
      <c r="A34">
        <v>5</v>
      </c>
      <c r="B34">
        <v>405622</v>
      </c>
      <c r="C34" t="s">
        <v>333</v>
      </c>
      <c r="D34" t="s">
        <v>334</v>
      </c>
      <c r="E34" t="s">
        <v>327</v>
      </c>
      <c r="F34">
        <v>59.57</v>
      </c>
      <c r="G34" s="9">
        <v>0.3</v>
      </c>
      <c r="H34" s="9">
        <v>0</v>
      </c>
      <c r="I34">
        <v>41.7</v>
      </c>
      <c r="J34" s="9">
        <v>0</v>
      </c>
      <c r="K34" s="9">
        <v>41.7</v>
      </c>
      <c r="L34" s="9">
        <v>0</v>
      </c>
      <c r="M34">
        <v>102</v>
      </c>
      <c r="N34" s="9">
        <v>41.7</v>
      </c>
      <c r="O34" s="21">
        <v>4253.3999999999996</v>
      </c>
      <c r="P34" s="9"/>
    </row>
    <row r="35" spans="1:16" x14ac:dyDescent="0.25">
      <c r="A35" t="s">
        <v>335</v>
      </c>
      <c r="B35">
        <v>510</v>
      </c>
      <c r="C35" s="10">
        <v>24442.26</v>
      </c>
      <c r="G35" s="9"/>
      <c r="H35" s="9"/>
      <c r="J35" s="9"/>
      <c r="K35" s="9"/>
      <c r="L35" s="9"/>
      <c r="N35" s="9"/>
      <c r="P35" s="9"/>
    </row>
    <row r="36" spans="1:16" x14ac:dyDescent="0.25">
      <c r="G36" s="9"/>
      <c r="H36" s="9"/>
      <c r="J36" s="9"/>
      <c r="K36" s="9"/>
      <c r="L36" s="9"/>
      <c r="N36" s="9"/>
      <c r="P36" s="9"/>
    </row>
    <row r="37" spans="1:16" x14ac:dyDescent="0.25">
      <c r="A37" t="s">
        <v>336</v>
      </c>
      <c r="G37" s="9"/>
      <c r="H37" s="9"/>
      <c r="J37" s="9"/>
      <c r="K37" s="9"/>
      <c r="L37" s="9"/>
      <c r="N37" s="9"/>
      <c r="P37" s="9"/>
    </row>
    <row r="38" spans="1:16" x14ac:dyDescent="0.25">
      <c r="A38" t="s">
        <v>337</v>
      </c>
      <c r="G38" s="9"/>
      <c r="H38" s="9"/>
      <c r="J38" s="9"/>
      <c r="K38" s="9"/>
      <c r="L38" s="9"/>
      <c r="N38" s="9"/>
      <c r="P38" s="9"/>
    </row>
    <row r="39" spans="1:16" x14ac:dyDescent="0.25">
      <c r="A39" t="s">
        <v>338</v>
      </c>
      <c r="G39" s="9"/>
      <c r="H39" s="9"/>
      <c r="J39" s="9"/>
      <c r="K39" s="9"/>
      <c r="L39" s="9"/>
      <c r="N39" s="9"/>
      <c r="P39" s="9"/>
    </row>
    <row r="40" spans="1:16" x14ac:dyDescent="0.25">
      <c r="G40" s="9"/>
      <c r="H40" s="9"/>
      <c r="J40" s="9"/>
      <c r="K40" s="9"/>
      <c r="L40" s="9"/>
      <c r="N40" s="9"/>
      <c r="P40" s="9"/>
    </row>
    <row r="41" spans="1:16" x14ac:dyDescent="0.25">
      <c r="G41" s="9"/>
      <c r="H41" s="9"/>
      <c r="J41" s="9"/>
      <c r="K41" s="9"/>
      <c r="L41" s="9"/>
      <c r="N41" s="9"/>
      <c r="P41" s="9"/>
    </row>
    <row r="42" spans="1:16" x14ac:dyDescent="0.25">
      <c r="A42" t="s">
        <v>339</v>
      </c>
      <c r="G42" s="9"/>
      <c r="H42" s="9"/>
      <c r="J42" s="9"/>
      <c r="K42" s="9"/>
      <c r="L42" s="9"/>
      <c r="N42" s="9"/>
      <c r="P42" s="9"/>
    </row>
    <row r="43" spans="1:16" x14ac:dyDescent="0.25">
      <c r="A43" t="s">
        <v>340</v>
      </c>
      <c r="B43" t="s">
        <v>341</v>
      </c>
      <c r="G43" s="9"/>
      <c r="H43" s="9"/>
      <c r="J43" s="9"/>
      <c r="K43" s="9"/>
      <c r="L43" s="9"/>
      <c r="N43" s="9"/>
      <c r="P43" s="9"/>
    </row>
    <row r="44" spans="1:16" x14ac:dyDescent="0.25">
      <c r="G44" s="9"/>
      <c r="H44" s="9"/>
      <c r="J44" s="9"/>
      <c r="K44" s="9"/>
      <c r="L44" s="9"/>
      <c r="N44" s="9"/>
      <c r="P44" s="9"/>
    </row>
    <row r="45" spans="1:16" x14ac:dyDescent="0.25">
      <c r="G45" s="9"/>
      <c r="H45" s="9"/>
      <c r="J45" s="9"/>
      <c r="K45" s="9"/>
      <c r="L45" s="9"/>
      <c r="N45" s="9"/>
      <c r="P45" s="9"/>
    </row>
    <row r="46" spans="1:16" x14ac:dyDescent="0.25">
      <c r="G46" s="9"/>
      <c r="H46" s="9"/>
      <c r="J46" s="9"/>
      <c r="K46" s="9"/>
      <c r="L46" s="9"/>
      <c r="N46" s="9"/>
      <c r="P46" s="9"/>
    </row>
    <row r="47" spans="1:16" x14ac:dyDescent="0.25">
      <c r="G47" s="9"/>
      <c r="H47" s="9"/>
      <c r="J47" s="9"/>
      <c r="K47" s="9"/>
      <c r="L47" s="9"/>
      <c r="N47" s="9"/>
      <c r="P47" s="9"/>
    </row>
    <row r="48" spans="1:16" x14ac:dyDescent="0.25">
      <c r="G48" s="9"/>
      <c r="H48" s="9"/>
      <c r="J48" s="9"/>
      <c r="K48" s="9"/>
      <c r="L48" s="9"/>
      <c r="N48" s="9"/>
      <c r="P48" s="9"/>
    </row>
    <row r="49" spans="7:16" x14ac:dyDescent="0.25">
      <c r="G49" s="9"/>
      <c r="H49" s="9"/>
      <c r="J49" s="9"/>
      <c r="K49" s="9"/>
      <c r="L49" s="9"/>
      <c r="N49" s="9"/>
      <c r="P49" s="9"/>
    </row>
    <row r="50" spans="7:16" x14ac:dyDescent="0.25">
      <c r="G50" s="9"/>
      <c r="H50" s="9"/>
      <c r="J50" s="9"/>
      <c r="K50" s="9"/>
      <c r="L50" s="9"/>
      <c r="N50" s="9"/>
      <c r="P50" s="9"/>
    </row>
    <row r="51" spans="7:16" x14ac:dyDescent="0.25">
      <c r="G51" s="9"/>
      <c r="H51" s="9"/>
      <c r="J51" s="9"/>
      <c r="K51" s="9"/>
      <c r="L51" s="9"/>
      <c r="N51" s="9"/>
      <c r="P51" s="9"/>
    </row>
    <row r="52" spans="7:16" x14ac:dyDescent="0.25">
      <c r="G52" s="9"/>
      <c r="H52" s="9"/>
      <c r="J52" s="9"/>
      <c r="K52" s="9"/>
      <c r="L52" s="9"/>
      <c r="N52" s="9"/>
      <c r="P52" s="9"/>
    </row>
    <row r="53" spans="7:16" x14ac:dyDescent="0.25">
      <c r="G53" s="9"/>
      <c r="H53" s="9"/>
      <c r="J53" s="9"/>
      <c r="K53" s="9"/>
      <c r="L53" s="9"/>
      <c r="N53" s="9"/>
      <c r="P53" s="9"/>
    </row>
    <row r="54" spans="7:16" x14ac:dyDescent="0.25">
      <c r="G54" s="9"/>
      <c r="H54" s="9"/>
      <c r="J54" s="9"/>
      <c r="K54" s="9"/>
      <c r="L54" s="9"/>
      <c r="N54" s="9"/>
      <c r="P54" s="9"/>
    </row>
    <row r="55" spans="7:16" x14ac:dyDescent="0.25">
      <c r="G55" s="9"/>
      <c r="H55" s="9"/>
      <c r="J55" s="9"/>
      <c r="K55" s="9"/>
      <c r="L55" s="9"/>
      <c r="N55" s="9"/>
      <c r="P55" s="9"/>
    </row>
    <row r="56" spans="7:16" x14ac:dyDescent="0.25">
      <c r="G56" s="9"/>
      <c r="H56" s="9"/>
      <c r="J56" s="9"/>
      <c r="K56" s="9"/>
      <c r="L56" s="9"/>
      <c r="N56" s="9"/>
      <c r="P56" s="9"/>
    </row>
    <row r="57" spans="7:16" x14ac:dyDescent="0.25">
      <c r="G57" s="9"/>
      <c r="H57" s="9"/>
      <c r="J57" s="9"/>
      <c r="K57" s="9"/>
      <c r="L57" s="9"/>
      <c r="N57" s="9"/>
      <c r="P57" s="9"/>
    </row>
    <row r="58" spans="7:16" x14ac:dyDescent="0.25">
      <c r="G58" s="9"/>
      <c r="H58" s="9"/>
      <c r="J58" s="9"/>
      <c r="K58" s="9"/>
      <c r="L58" s="9"/>
      <c r="N58" s="9"/>
      <c r="P58" s="9"/>
    </row>
    <row r="59" spans="7:16" x14ac:dyDescent="0.25">
      <c r="G59" s="9"/>
      <c r="H59" s="9"/>
      <c r="J59" s="9"/>
      <c r="K59" s="9"/>
      <c r="L59" s="9"/>
      <c r="N59" s="9"/>
      <c r="P59" s="9"/>
    </row>
    <row r="60" spans="7:16" x14ac:dyDescent="0.25">
      <c r="G60" s="9"/>
      <c r="H60" s="9"/>
      <c r="J60" s="9"/>
      <c r="K60" s="9"/>
      <c r="L60" s="9"/>
      <c r="N60" s="9"/>
      <c r="P60" s="9"/>
    </row>
    <row r="61" spans="7:16" x14ac:dyDescent="0.25">
      <c r="G61" s="9"/>
      <c r="H61" s="9"/>
      <c r="J61" s="9"/>
      <c r="K61" s="9"/>
      <c r="L61" s="9"/>
      <c r="N61" s="9"/>
      <c r="P61" s="9"/>
    </row>
    <row r="62" spans="7:16" x14ac:dyDescent="0.25">
      <c r="G62" s="9"/>
      <c r="H62" s="9"/>
      <c r="J62" s="9"/>
      <c r="K62" s="9"/>
      <c r="L62" s="9"/>
      <c r="N62" s="9"/>
      <c r="P62" s="9"/>
    </row>
    <row r="63" spans="7:16" x14ac:dyDescent="0.25">
      <c r="G63" s="9"/>
      <c r="H63" s="9"/>
      <c r="J63" s="9"/>
      <c r="K63" s="9"/>
      <c r="L63" s="9"/>
      <c r="N63" s="9"/>
      <c r="P63" s="9"/>
    </row>
    <row r="64" spans="7:16" x14ac:dyDescent="0.25">
      <c r="G64" s="9"/>
      <c r="H64" s="9"/>
      <c r="J64" s="9"/>
      <c r="K64" s="9"/>
      <c r="L64" s="9"/>
      <c r="N64" s="9"/>
      <c r="P64" s="9"/>
    </row>
    <row r="65" spans="7:16" x14ac:dyDescent="0.25">
      <c r="G65" s="9"/>
      <c r="H65" s="9"/>
      <c r="J65" s="9"/>
      <c r="K65" s="9"/>
      <c r="L65" s="9"/>
      <c r="N65" s="9"/>
      <c r="P65" s="9"/>
    </row>
    <row r="66" spans="7:16" x14ac:dyDescent="0.25">
      <c r="G66" s="9"/>
      <c r="H66" s="9"/>
      <c r="J66" s="9"/>
      <c r="K66" s="9"/>
      <c r="L66" s="9"/>
      <c r="N66" s="9"/>
      <c r="P66" s="9"/>
    </row>
    <row r="67" spans="7:16" x14ac:dyDescent="0.25">
      <c r="G67" s="9"/>
      <c r="H67" s="9"/>
      <c r="J67" s="9"/>
      <c r="K67" s="9"/>
      <c r="L67" s="9"/>
      <c r="N67" s="9"/>
      <c r="P67" s="9"/>
    </row>
    <row r="68" spans="7:16" x14ac:dyDescent="0.25">
      <c r="G68" s="9"/>
      <c r="H68" s="9"/>
      <c r="J68" s="9"/>
      <c r="K68" s="9"/>
      <c r="L68" s="9"/>
      <c r="N68" s="9"/>
      <c r="P68" s="9"/>
    </row>
    <row r="69" spans="7:16" x14ac:dyDescent="0.25">
      <c r="G69" s="9"/>
      <c r="H69" s="9"/>
      <c r="J69" s="9"/>
      <c r="K69" s="9"/>
      <c r="L69" s="9"/>
      <c r="N69" s="9"/>
      <c r="P69" s="9"/>
    </row>
    <row r="70" spans="7:16" x14ac:dyDescent="0.25">
      <c r="G70" s="9"/>
      <c r="H70" s="9"/>
      <c r="J70" s="9"/>
      <c r="K70" s="9"/>
      <c r="L70" s="9"/>
      <c r="N70" s="9"/>
      <c r="P70" s="9"/>
    </row>
    <row r="71" spans="7:16" x14ac:dyDescent="0.25">
      <c r="G71" s="9"/>
      <c r="H71" s="9"/>
      <c r="J71" s="9"/>
      <c r="K71" s="9"/>
      <c r="L71" s="9"/>
      <c r="N71" s="9"/>
      <c r="P71" s="9"/>
    </row>
    <row r="72" spans="7:16" x14ac:dyDescent="0.25">
      <c r="G72" s="9"/>
      <c r="H72" s="9"/>
      <c r="J72" s="9"/>
      <c r="K72" s="9"/>
      <c r="L72" s="9"/>
      <c r="N72" s="9"/>
      <c r="P72" s="9"/>
    </row>
    <row r="73" spans="7:16" x14ac:dyDescent="0.25">
      <c r="G73" s="9"/>
      <c r="H73" s="9"/>
      <c r="J73" s="9"/>
      <c r="K73" s="9"/>
      <c r="L73" s="9"/>
      <c r="N73" s="9"/>
      <c r="P73" s="9"/>
    </row>
    <row r="74" spans="7:16" x14ac:dyDescent="0.25">
      <c r="G74" s="9"/>
      <c r="H74" s="9"/>
      <c r="J74" s="9"/>
      <c r="K74" s="9"/>
      <c r="L74" s="9"/>
      <c r="N74" s="9"/>
      <c r="P74" s="9"/>
    </row>
    <row r="75" spans="7:16" x14ac:dyDescent="0.25">
      <c r="G75" s="9"/>
      <c r="H75" s="9"/>
      <c r="J75" s="9"/>
      <c r="K75" s="9"/>
      <c r="L75" s="9"/>
      <c r="N75" s="9"/>
      <c r="P75" s="9"/>
    </row>
    <row r="76" spans="7:16" x14ac:dyDescent="0.25">
      <c r="G76" s="9"/>
      <c r="H76" s="9"/>
      <c r="J76" s="9"/>
      <c r="K76" s="9"/>
      <c r="L76" s="9"/>
      <c r="N76" s="9"/>
      <c r="P76" s="9"/>
    </row>
    <row r="77" spans="7:16" x14ac:dyDescent="0.25">
      <c r="G77" s="9"/>
      <c r="H77" s="9"/>
      <c r="J77" s="9"/>
      <c r="K77" s="9"/>
      <c r="L77" s="9"/>
      <c r="N77" s="9"/>
      <c r="P77" s="9"/>
    </row>
    <row r="78" spans="7:16" x14ac:dyDescent="0.25">
      <c r="G78" s="9"/>
      <c r="H78" s="9"/>
      <c r="J78" s="9"/>
      <c r="K78" s="9"/>
      <c r="L78" s="9"/>
      <c r="N78" s="9"/>
      <c r="P78" s="9"/>
    </row>
    <row r="79" spans="7:16" x14ac:dyDescent="0.25">
      <c r="G79" s="9"/>
      <c r="H79" s="9"/>
      <c r="J79" s="9"/>
      <c r="K79" s="9"/>
      <c r="L79" s="9"/>
      <c r="N79" s="9"/>
      <c r="P79" s="9"/>
    </row>
    <row r="80" spans="7:16" x14ac:dyDescent="0.25">
      <c r="G80" s="9"/>
      <c r="H80" s="2"/>
      <c r="J80" s="9"/>
      <c r="L80" s="9"/>
      <c r="P80" s="10"/>
    </row>
    <row r="81" spans="7:12" x14ac:dyDescent="0.25">
      <c r="G81" s="9"/>
      <c r="H81" s="9"/>
      <c r="J81" s="9"/>
      <c r="L81" s="9"/>
    </row>
    <row r="82" spans="7:12" x14ac:dyDescent="0.25">
      <c r="G82" s="9"/>
      <c r="H82" s="9"/>
      <c r="J82" s="9"/>
      <c r="L82" s="9"/>
    </row>
    <row r="83" spans="7:12" x14ac:dyDescent="0.25">
      <c r="G83" s="9"/>
      <c r="H83" s="9"/>
      <c r="J83" s="9"/>
      <c r="L83" s="9"/>
    </row>
    <row r="84" spans="7:12" x14ac:dyDescent="0.25">
      <c r="G84" s="9"/>
      <c r="H84" s="9"/>
      <c r="J84" s="9"/>
      <c r="L84" s="9"/>
    </row>
    <row r="85" spans="7:12" x14ac:dyDescent="0.25">
      <c r="G85" s="9"/>
      <c r="H85" s="9"/>
      <c r="J85" s="9"/>
      <c r="L85" s="9"/>
    </row>
    <row r="86" spans="7:12" x14ac:dyDescent="0.25">
      <c r="G86" s="9"/>
      <c r="H86" s="9"/>
      <c r="J86" s="9"/>
      <c r="L86" s="9"/>
    </row>
    <row r="87" spans="7:12" x14ac:dyDescent="0.25">
      <c r="L87" s="1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2DB6-063F-4590-83CF-EA91382E1734}">
  <dimension ref="A1:N24"/>
  <sheetViews>
    <sheetView tabSelected="1" workbookViewId="0">
      <selection activeCell="J7" sqref="J7"/>
    </sheetView>
  </sheetViews>
  <sheetFormatPr defaultRowHeight="15" x14ac:dyDescent="0.25"/>
  <cols>
    <col min="1" max="1" width="21.42578125" style="5" bestFit="1" customWidth="1"/>
    <col min="2" max="2" width="14.7109375" style="5" bestFit="1" customWidth="1"/>
    <col min="3" max="3" width="39.140625" style="5" bestFit="1" customWidth="1"/>
    <col min="4" max="4" width="26.28515625" style="5" bestFit="1" customWidth="1"/>
    <col min="5" max="5" width="11.85546875" style="5" bestFit="1" customWidth="1"/>
    <col min="6" max="6" width="18.28515625" style="11" bestFit="1" customWidth="1"/>
    <col min="7" max="7" width="11.7109375" style="17" bestFit="1" customWidth="1"/>
  </cols>
  <sheetData>
    <row r="1" spans="1:8" x14ac:dyDescent="0.25">
      <c r="A1" s="3" t="s">
        <v>245</v>
      </c>
      <c r="B1" s="3" t="s">
        <v>238</v>
      </c>
      <c r="C1" s="3" t="s">
        <v>239</v>
      </c>
      <c r="D1" s="13" t="s">
        <v>240</v>
      </c>
      <c r="E1" s="3" t="s">
        <v>243</v>
      </c>
      <c r="F1" s="14" t="s">
        <v>241</v>
      </c>
      <c r="G1" s="15" t="s">
        <v>246</v>
      </c>
    </row>
    <row r="2" spans="1:8" ht="75" x14ac:dyDescent="0.25">
      <c r="A2" s="20" t="s">
        <v>0</v>
      </c>
      <c r="B2" s="12" t="s">
        <v>275</v>
      </c>
      <c r="C2" s="5" t="s">
        <v>1</v>
      </c>
      <c r="D2" s="6" t="s">
        <v>272</v>
      </c>
      <c r="E2" s="5">
        <f>'Camp 1 (Coloração)'!D118</f>
        <v>0</v>
      </c>
      <c r="F2" s="16" t="s">
        <v>275</v>
      </c>
      <c r="G2" s="17">
        <f>'Camp 1 (Coloração)'!E118</f>
        <v>0</v>
      </c>
    </row>
    <row r="3" spans="1:8" x14ac:dyDescent="0.25">
      <c r="E3" s="5" t="str">
        <f>IFERROR(VLOOKUP(B3,'Pedido '!B:O,12,),"  ")</f>
        <v xml:space="preserve">  </v>
      </c>
      <c r="F3" s="11" t="str">
        <f>IFERROR(VLOOKUP(B3,'Pedido '!B:O,11,),"  ")</f>
        <v xml:space="preserve">  </v>
      </c>
      <c r="G3" s="17" t="str">
        <f>IFERROR(VLOOKUP(B3,'Pedido '!B:O,14,),"  ")</f>
        <v xml:space="preserve">  </v>
      </c>
    </row>
    <row r="4" spans="1:8" x14ac:dyDescent="0.25">
      <c r="A4" s="22" t="s">
        <v>2</v>
      </c>
      <c r="B4" s="5">
        <v>405740</v>
      </c>
      <c r="C4" s="5" t="s">
        <v>3</v>
      </c>
      <c r="D4" s="5" t="s">
        <v>343</v>
      </c>
      <c r="E4" s="5" t="str">
        <f>IFERROR(VLOOKUP(B4,'Pedido '!B:O,12,),"  ")</f>
        <v xml:space="preserve">  </v>
      </c>
      <c r="F4" s="11" t="str">
        <f>IFERROR(VLOOKUP(B4,'Pedido '!B:O,11,),"  ")</f>
        <v xml:space="preserve">  </v>
      </c>
      <c r="G4" s="17" t="str">
        <f>IFERROR(VLOOKUP(B4,'Pedido '!B:O,14,),"  ")</f>
        <v xml:space="preserve">  </v>
      </c>
    </row>
    <row r="5" spans="1:8" x14ac:dyDescent="0.25">
      <c r="A5" s="22"/>
      <c r="B5" s="5">
        <v>405506</v>
      </c>
      <c r="C5" s="5" t="s">
        <v>4</v>
      </c>
      <c r="D5" s="5" t="s">
        <v>344</v>
      </c>
      <c r="E5" s="5" t="str">
        <f>IFERROR(VLOOKUP(B5,'Pedido '!B:O,12,),"  ")</f>
        <v xml:space="preserve">  </v>
      </c>
      <c r="F5" s="11" t="str">
        <f>IFERROR(VLOOKUP(B5,'Pedido '!B:O,11,),"  ")</f>
        <v xml:space="preserve">  </v>
      </c>
      <c r="G5" s="17" t="str">
        <f>IFERROR(VLOOKUP(B5,'Pedido '!B:O,14,),"  ")</f>
        <v xml:space="preserve">  </v>
      </c>
    </row>
    <row r="6" spans="1:8" x14ac:dyDescent="0.25">
      <c r="A6" s="22"/>
      <c r="B6" s="5">
        <v>405507</v>
      </c>
      <c r="C6" s="5" t="s">
        <v>5</v>
      </c>
      <c r="D6" s="5" t="s">
        <v>345</v>
      </c>
      <c r="E6" s="5">
        <f>IFERROR(VLOOKUP(B6,'Pedido '!B:O,12,),"  ")</f>
        <v>102</v>
      </c>
      <c r="F6" s="11">
        <f>IFERROR(VLOOKUP(B6,'Pedido '!B:O,11,),"  ")</f>
        <v>0</v>
      </c>
      <c r="G6" s="17">
        <f>IFERROR(VLOOKUP(B6,'Pedido '!B:O,14,),"  ")</f>
        <v>3576.12</v>
      </c>
    </row>
    <row r="7" spans="1:8" x14ac:dyDescent="0.25">
      <c r="A7" s="22"/>
      <c r="B7" s="5">
        <v>405508</v>
      </c>
      <c r="C7" s="5" t="s">
        <v>6</v>
      </c>
      <c r="D7" s="5" t="s">
        <v>346</v>
      </c>
      <c r="E7" s="5" t="str">
        <f>IFERROR(VLOOKUP(B7,'Pedido '!B:O,12,),"  ")</f>
        <v xml:space="preserve">  </v>
      </c>
      <c r="F7" s="11" t="str">
        <f>IFERROR(VLOOKUP(B7,'Pedido '!B:O,11,),"  ")</f>
        <v xml:space="preserve">  </v>
      </c>
      <c r="G7" s="17" t="str">
        <f>IFERROR(VLOOKUP(B7,'Pedido '!B:O,14,),"  ")</f>
        <v xml:space="preserve">  </v>
      </c>
    </row>
    <row r="8" spans="1:8" x14ac:dyDescent="0.25">
      <c r="A8" s="22"/>
      <c r="B8" s="5">
        <v>405509</v>
      </c>
      <c r="C8" s="5" t="s">
        <v>7</v>
      </c>
      <c r="D8" s="5" t="s">
        <v>347</v>
      </c>
      <c r="E8" s="5" t="str">
        <f>IFERROR(VLOOKUP(B8,'Pedido '!B:O,12,),"  ")</f>
        <v xml:space="preserve">  </v>
      </c>
      <c r="F8" s="11" t="str">
        <f>IFERROR(VLOOKUP(B8,'Pedido '!B:O,11,),"  ")</f>
        <v xml:space="preserve">  </v>
      </c>
      <c r="G8" s="17" t="str">
        <f>IFERROR(VLOOKUP(B8,'Pedido '!B:O,14,),"  ")</f>
        <v xml:space="preserve">  </v>
      </c>
    </row>
    <row r="9" spans="1:8" x14ac:dyDescent="0.25">
      <c r="A9" s="24" t="s">
        <v>279</v>
      </c>
      <c r="B9" s="24"/>
      <c r="C9" s="24"/>
      <c r="D9" s="24"/>
      <c r="E9" s="5">
        <f>SUM(E4:E8)</f>
        <v>102</v>
      </c>
      <c r="F9" s="16" t="s">
        <v>275</v>
      </c>
      <c r="G9" s="16" t="s">
        <v>275</v>
      </c>
    </row>
    <row r="10" spans="1:8" x14ac:dyDescent="0.25">
      <c r="E10" s="5" t="str">
        <f>IFERROR(VLOOKUP(B10,'Pedido '!B:O,12,),"  ")</f>
        <v xml:space="preserve">  </v>
      </c>
      <c r="F10" s="11" t="str">
        <f>IFERROR(VLOOKUP(B10,'Pedido '!B:O,11,),"  ")</f>
        <v xml:space="preserve">  </v>
      </c>
      <c r="G10" s="17" t="str">
        <f>IFERROR(VLOOKUP(B10,'Pedido '!B:O,14,),"  ")</f>
        <v xml:space="preserve">  </v>
      </c>
    </row>
    <row r="11" spans="1:8" ht="45" x14ac:dyDescent="0.25">
      <c r="A11" s="20" t="s">
        <v>8</v>
      </c>
      <c r="B11" s="5">
        <v>405741</v>
      </c>
      <c r="C11" s="5" t="s">
        <v>9</v>
      </c>
      <c r="D11" s="6" t="s">
        <v>273</v>
      </c>
      <c r="E11" s="5">
        <f>IFERROR(VLOOKUP(B11,'Pedido '!B:O,12,),"  ")</f>
        <v>102</v>
      </c>
      <c r="F11" s="11">
        <f>IFERROR(VLOOKUP(B11,'Pedido '!B:O,11,),"  ")</f>
        <v>0.05</v>
      </c>
      <c r="G11" s="17">
        <f>IFERROR(VLOOKUP(B11,'Pedido '!B:O,14,),"  ")</f>
        <v>4668.54</v>
      </c>
    </row>
    <row r="12" spans="1:8" x14ac:dyDescent="0.25">
      <c r="E12" s="5" t="str">
        <f>IFERROR(VLOOKUP(B12,'Pedido '!B:O,12,),"  ")</f>
        <v xml:space="preserve">  </v>
      </c>
      <c r="F12" s="11" t="str">
        <f>IFERROR(VLOOKUP(B12,'Pedido '!B:O,11,),"  ")</f>
        <v xml:space="preserve">  </v>
      </c>
      <c r="G12" s="17" t="str">
        <f>IFERROR(VLOOKUP(B12,'Pedido '!B:O,14,),"  ")</f>
        <v xml:space="preserve">  </v>
      </c>
    </row>
    <row r="13" spans="1:8" x14ac:dyDescent="0.25">
      <c r="A13" s="22" t="s">
        <v>10</v>
      </c>
      <c r="B13" s="5">
        <v>405518</v>
      </c>
      <c r="C13" s="5" t="s">
        <v>11</v>
      </c>
      <c r="D13" s="25">
        <v>0.2</v>
      </c>
      <c r="E13" s="5" t="str">
        <f>IFERROR(VLOOKUP(B13,'Pedido '!B:O,12,),"  ")</f>
        <v xml:space="preserve">  </v>
      </c>
      <c r="F13" s="11" t="str">
        <f>IFERROR(VLOOKUP(B13,'Pedido '!B:O,11,),"  ")</f>
        <v xml:space="preserve">  </v>
      </c>
      <c r="G13" s="17" t="str">
        <f>IFERROR(VLOOKUP(B13,'Pedido '!B:O,14,),"  ")</f>
        <v xml:space="preserve">  </v>
      </c>
      <c r="H13" t="s">
        <v>342</v>
      </c>
    </row>
    <row r="14" spans="1:8" x14ac:dyDescent="0.25">
      <c r="A14" s="22"/>
      <c r="B14" s="5">
        <v>405519</v>
      </c>
      <c r="C14" s="5" t="s">
        <v>12</v>
      </c>
      <c r="D14" s="25"/>
      <c r="E14" s="5" t="str">
        <f>IFERROR(VLOOKUP(B14,'Pedido '!B:O,12,),"  ")</f>
        <v xml:space="preserve">  </v>
      </c>
      <c r="F14" s="11" t="str">
        <f>IFERROR(VLOOKUP(B14,'Pedido '!B:O,11,),"  ")</f>
        <v xml:space="preserve">  </v>
      </c>
      <c r="G14" s="17" t="str">
        <f>IFERROR(VLOOKUP(B14,'Pedido '!B:O,14,),"  ")</f>
        <v xml:space="preserve">  </v>
      </c>
    </row>
    <row r="15" spans="1:8" x14ac:dyDescent="0.25">
      <c r="A15" s="22"/>
      <c r="B15" s="5">
        <v>405593</v>
      </c>
      <c r="C15" s="5" t="s">
        <v>13</v>
      </c>
      <c r="D15" s="25"/>
      <c r="E15" s="5" t="str">
        <f>IFERROR(VLOOKUP(B15,'Pedido '!B:O,12,),"  ")</f>
        <v xml:space="preserve">  </v>
      </c>
      <c r="F15" s="11" t="str">
        <f>IFERROR(VLOOKUP(B15,'Pedido '!B:O,11,),"  ")</f>
        <v xml:space="preserve">  </v>
      </c>
      <c r="G15" s="17" t="str">
        <f>IFERROR(VLOOKUP(B15,'Pedido '!B:O,14,),"  ")</f>
        <v xml:space="preserve">  </v>
      </c>
    </row>
    <row r="16" spans="1:8" x14ac:dyDescent="0.25">
      <c r="E16" s="5" t="str">
        <f>IFERROR(VLOOKUP(B16,'Pedido '!B:O,12,),"  ")</f>
        <v xml:space="preserve">  </v>
      </c>
      <c r="F16" s="11" t="str">
        <f>IFERROR(VLOOKUP(B16,'Pedido '!B:O,11,),"  ")</f>
        <v xml:space="preserve">  </v>
      </c>
      <c r="G16" s="17" t="str">
        <f>IFERROR(VLOOKUP(B16,'Pedido '!B:O,14,),"  ")</f>
        <v xml:space="preserve">  </v>
      </c>
    </row>
    <row r="17" spans="1:14" ht="45" x14ac:dyDescent="0.25">
      <c r="A17" s="20" t="s">
        <v>14</v>
      </c>
      <c r="B17" s="12" t="s">
        <v>275</v>
      </c>
      <c r="C17" s="12" t="s">
        <v>275</v>
      </c>
      <c r="D17" s="6" t="s">
        <v>274</v>
      </c>
      <c r="E17" s="12" t="s">
        <v>275</v>
      </c>
      <c r="F17" s="16" t="s">
        <v>275</v>
      </c>
      <c r="G17" s="17">
        <f>'Camp 5'!E27</f>
        <v>9260.58</v>
      </c>
      <c r="L17">
        <v>12</v>
      </c>
    </row>
    <row r="18" spans="1:14" x14ac:dyDescent="0.25">
      <c r="E18" s="5" t="str">
        <f>IFERROR(VLOOKUP(B18,'Pedido '!B:O,12,),"  ")</f>
        <v xml:space="preserve">  </v>
      </c>
      <c r="F18" s="11" t="str">
        <f>IFERROR(VLOOKUP(B18,'Pedido '!B:O,11,),"  ")</f>
        <v xml:space="preserve">  </v>
      </c>
      <c r="G18" s="17" t="str">
        <f>IFERROR(VLOOKUP(B18,'Pedido '!B:O,14,),"  ")</f>
        <v xml:space="preserve">  </v>
      </c>
      <c r="K18">
        <v>500</v>
      </c>
      <c r="L18" s="29">
        <f>K18/$L$17</f>
        <v>41.666666666666664</v>
      </c>
      <c r="M18">
        <v>83</v>
      </c>
      <c r="N18" s="30">
        <v>0.13</v>
      </c>
    </row>
    <row r="19" spans="1:14" x14ac:dyDescent="0.25">
      <c r="A19" s="20" t="s">
        <v>15</v>
      </c>
      <c r="B19" s="5">
        <v>405759</v>
      </c>
      <c r="C19" s="5" t="s">
        <v>16</v>
      </c>
      <c r="D19" s="12" t="s">
        <v>275</v>
      </c>
      <c r="E19" s="5" t="str">
        <f>IFERROR(VLOOKUP(B19,'Pedido '!B:O,12,),"  ")</f>
        <v xml:space="preserve">  </v>
      </c>
      <c r="F19" s="11" t="str">
        <f>IFERROR(VLOOKUP(B19,'Pedido '!B:O,11,),"  ")</f>
        <v xml:space="preserve">  </v>
      </c>
      <c r="G19" s="17" t="str">
        <f>IFERROR(VLOOKUP(B19,'Pedido '!B:O,14,),"  ")</f>
        <v xml:space="preserve">  </v>
      </c>
      <c r="K19">
        <v>1001</v>
      </c>
      <c r="L19" s="29">
        <f t="shared" ref="L19:L22" si="0">K19/$L$17</f>
        <v>83.416666666666671</v>
      </c>
      <c r="M19">
        <v>125</v>
      </c>
    </row>
    <row r="20" spans="1:14" x14ac:dyDescent="0.25">
      <c r="K20">
        <v>1501</v>
      </c>
      <c r="L20" s="29">
        <f t="shared" si="0"/>
        <v>125.08333333333333</v>
      </c>
      <c r="M20">
        <v>192</v>
      </c>
    </row>
    <row r="21" spans="1:14" x14ac:dyDescent="0.25">
      <c r="K21">
        <v>2301</v>
      </c>
      <c r="L21" s="29">
        <f t="shared" si="0"/>
        <v>191.75</v>
      </c>
      <c r="M21">
        <v>292</v>
      </c>
    </row>
    <row r="22" spans="1:14" x14ac:dyDescent="0.25">
      <c r="A22" s="22" t="s">
        <v>277</v>
      </c>
      <c r="B22" s="22"/>
      <c r="C22" s="22"/>
      <c r="D22" s="22"/>
      <c r="E22" s="22"/>
      <c r="F22" s="22"/>
      <c r="G22" s="17">
        <f>SUM(G2:G19)</f>
        <v>17505.239999999998</v>
      </c>
      <c r="K22">
        <v>3501</v>
      </c>
      <c r="L22" s="29">
        <f t="shared" si="0"/>
        <v>291.75</v>
      </c>
    </row>
    <row r="23" spans="1:14" x14ac:dyDescent="0.25">
      <c r="A23" s="23" t="s">
        <v>278</v>
      </c>
      <c r="B23" s="23"/>
      <c r="C23" s="23"/>
      <c r="D23" s="23"/>
      <c r="E23" s="23"/>
      <c r="F23" s="23"/>
      <c r="G23" s="17">
        <f>'Produtos Fora de Campanha '!E107</f>
        <v>6937.02</v>
      </c>
    </row>
    <row r="24" spans="1:14" x14ac:dyDescent="0.25">
      <c r="A24" s="24" t="s">
        <v>276</v>
      </c>
      <c r="B24" s="24"/>
      <c r="C24" s="24"/>
      <c r="D24" s="24"/>
      <c r="E24" s="24"/>
      <c r="F24" s="24"/>
      <c r="G24" s="17">
        <f>SUM(G22:G23)</f>
        <v>24442.26</v>
      </c>
    </row>
  </sheetData>
  <mergeCells count="7">
    <mergeCell ref="A22:F22"/>
    <mergeCell ref="A23:F23"/>
    <mergeCell ref="A24:F24"/>
    <mergeCell ref="A4:A8"/>
    <mergeCell ref="A13:A15"/>
    <mergeCell ref="D13:D15"/>
    <mergeCell ref="A9:D9"/>
  </mergeCells>
  <pageMargins left="0.511811024" right="0.511811024" top="0.78740157499999996" bottom="0.78740157499999996" header="0.31496062000000002" footer="0.31496062000000002"/>
  <ignoredErrors>
    <ignoredError sqref="G17 E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D278-F365-4830-9470-C1CDC293C3AB}">
  <dimension ref="A1:E118"/>
  <sheetViews>
    <sheetView workbookViewId="0">
      <selection activeCell="G9" sqref="G9"/>
    </sheetView>
  </sheetViews>
  <sheetFormatPr defaultRowHeight="15" x14ac:dyDescent="0.25"/>
  <cols>
    <col min="1" max="1" width="19.28515625" style="1" bestFit="1" customWidth="1"/>
    <col min="2" max="2" width="69.28515625" bestFit="1" customWidth="1"/>
    <col min="3" max="3" width="22.85546875" style="11" bestFit="1" customWidth="1"/>
    <col min="4" max="4" width="16.42578125" style="5" bestFit="1" customWidth="1"/>
    <col min="5" max="5" width="11.7109375" style="17" bestFit="1" customWidth="1"/>
  </cols>
  <sheetData>
    <row r="1" spans="1:5" x14ac:dyDescent="0.25">
      <c r="A1" s="3" t="s">
        <v>238</v>
      </c>
      <c r="B1" s="4" t="s">
        <v>239</v>
      </c>
      <c r="C1" s="14" t="s">
        <v>241</v>
      </c>
      <c r="D1" s="3" t="s">
        <v>243</v>
      </c>
      <c r="E1" s="15" t="s">
        <v>242</v>
      </c>
    </row>
    <row r="2" spans="1:5" x14ac:dyDescent="0.25">
      <c r="A2" s="1">
        <v>405236</v>
      </c>
      <c r="B2" t="s">
        <v>99</v>
      </c>
      <c r="C2" s="11" t="str">
        <f>IFERROR(VLOOKUP(A2,'Pedido '!B:O,11,),"  ")</f>
        <v xml:space="preserve">  </v>
      </c>
      <c r="D2" s="5" t="str">
        <f>IFERROR(VLOOKUP(A2,'Pedido '!B:O,12,),"  ")</f>
        <v xml:space="preserve">  </v>
      </c>
      <c r="E2" s="17" t="str">
        <f>IFERROR(VLOOKUP(A2,'Pedido '!B:O,14,),"  ")</f>
        <v xml:space="preserve">  </v>
      </c>
    </row>
    <row r="3" spans="1:5" x14ac:dyDescent="0.25">
      <c r="A3" s="1">
        <v>405222</v>
      </c>
      <c r="B3" t="s">
        <v>100</v>
      </c>
      <c r="C3" s="11" t="str">
        <f>IFERROR(VLOOKUP(A3,'Pedido '!B:O,11,),"  ")</f>
        <v xml:space="preserve">  </v>
      </c>
      <c r="D3" s="5" t="str">
        <f>IFERROR(VLOOKUP(A3,'Pedido '!B:O,12,),"  ")</f>
        <v xml:space="preserve">  </v>
      </c>
      <c r="E3" s="17" t="str">
        <f>IFERROR(VLOOKUP(A3,'Pedido '!B:O,14,),"  ")</f>
        <v xml:space="preserve">  </v>
      </c>
    </row>
    <row r="4" spans="1:5" x14ac:dyDescent="0.25">
      <c r="A4" s="1">
        <v>405223</v>
      </c>
      <c r="B4" t="s">
        <v>101</v>
      </c>
      <c r="C4" s="11" t="str">
        <f>IFERROR(VLOOKUP(A4,'Pedido '!B:O,11,),"  ")</f>
        <v xml:space="preserve">  </v>
      </c>
      <c r="D4" s="5" t="str">
        <f>IFERROR(VLOOKUP(A4,'Pedido '!B:O,12,),"  ")</f>
        <v xml:space="preserve">  </v>
      </c>
      <c r="E4" s="17" t="str">
        <f>IFERROR(VLOOKUP(A4,'Pedido '!B:O,14,),"  ")</f>
        <v xml:space="preserve">  </v>
      </c>
    </row>
    <row r="5" spans="1:5" x14ac:dyDescent="0.25">
      <c r="A5" s="1">
        <v>405523</v>
      </c>
      <c r="B5" t="s">
        <v>103</v>
      </c>
      <c r="C5" s="11" t="str">
        <f>IFERROR(VLOOKUP(A5,'Pedido '!B:O,11,),"  ")</f>
        <v xml:space="preserve">  </v>
      </c>
      <c r="D5" s="5" t="str">
        <f>IFERROR(VLOOKUP(A5,'Pedido '!B:O,12,),"  ")</f>
        <v xml:space="preserve">  </v>
      </c>
      <c r="E5" s="17" t="str">
        <f>IFERROR(VLOOKUP(A5,'Pedido '!B:O,14,),"  ")</f>
        <v xml:space="preserve">  </v>
      </c>
    </row>
    <row r="6" spans="1:5" x14ac:dyDescent="0.25">
      <c r="A6" s="1">
        <v>405524</v>
      </c>
      <c r="B6" t="s">
        <v>104</v>
      </c>
      <c r="C6" s="11" t="str">
        <f>IFERROR(VLOOKUP(A6,'Pedido '!B:O,11,),"  ")</f>
        <v xml:space="preserve">  </v>
      </c>
      <c r="D6" s="5" t="str">
        <f>IFERROR(VLOOKUP(A6,'Pedido '!B:O,12,),"  ")</f>
        <v xml:space="preserve">  </v>
      </c>
      <c r="E6" s="17" t="str">
        <f>IFERROR(VLOOKUP(A6,'Pedido '!B:O,14,),"  ")</f>
        <v xml:space="preserve">  </v>
      </c>
    </row>
    <row r="7" spans="1:5" x14ac:dyDescent="0.25">
      <c r="A7" s="1">
        <v>405533</v>
      </c>
      <c r="B7" t="s">
        <v>105</v>
      </c>
      <c r="C7" s="11" t="str">
        <f>IFERROR(VLOOKUP(A7,'Pedido '!B:O,11,),"  ")</f>
        <v xml:space="preserve">  </v>
      </c>
      <c r="D7" s="5" t="str">
        <f>IFERROR(VLOOKUP(A7,'Pedido '!B:O,12,),"  ")</f>
        <v xml:space="preserve">  </v>
      </c>
      <c r="E7" s="17" t="str">
        <f>IFERROR(VLOOKUP(A7,'Pedido '!B:O,14,),"  ")</f>
        <v xml:space="preserve">  </v>
      </c>
    </row>
    <row r="8" spans="1:5" x14ac:dyDescent="0.25">
      <c r="A8" s="1">
        <v>405534</v>
      </c>
      <c r="B8" t="s">
        <v>106</v>
      </c>
      <c r="C8" s="11" t="str">
        <f>IFERROR(VLOOKUP(A8,'Pedido '!B:O,11,),"  ")</f>
        <v xml:space="preserve">  </v>
      </c>
      <c r="D8" s="5" t="str">
        <f>IFERROR(VLOOKUP(A8,'Pedido '!B:O,12,),"  ")</f>
        <v xml:space="preserve">  </v>
      </c>
      <c r="E8" s="17" t="str">
        <f>IFERROR(VLOOKUP(A8,'Pedido '!B:O,14,),"  ")</f>
        <v xml:space="preserve">  </v>
      </c>
    </row>
    <row r="9" spans="1:5" x14ac:dyDescent="0.25">
      <c r="A9" s="1">
        <v>405537</v>
      </c>
      <c r="B9" t="s">
        <v>107</v>
      </c>
      <c r="C9" s="11" t="str">
        <f>IFERROR(VLOOKUP(A9,'Pedido '!B:O,11,),"  ")</f>
        <v xml:space="preserve">  </v>
      </c>
      <c r="D9" s="5" t="str">
        <f>IFERROR(VLOOKUP(A9,'Pedido '!B:O,12,),"  ")</f>
        <v xml:space="preserve">  </v>
      </c>
      <c r="E9" s="17" t="str">
        <f>IFERROR(VLOOKUP(A9,'Pedido '!B:O,14,),"  ")</f>
        <v xml:space="preserve">  </v>
      </c>
    </row>
    <row r="10" spans="1:5" x14ac:dyDescent="0.25">
      <c r="A10" s="1">
        <v>405548</v>
      </c>
      <c r="B10" t="s">
        <v>108</v>
      </c>
      <c r="C10" s="11" t="str">
        <f>IFERROR(VLOOKUP(A10,'Pedido '!B:O,11,),"  ")</f>
        <v xml:space="preserve">  </v>
      </c>
      <c r="D10" s="5" t="str">
        <f>IFERROR(VLOOKUP(A10,'Pedido '!B:O,12,),"  ")</f>
        <v xml:space="preserve">  </v>
      </c>
      <c r="E10" s="17" t="str">
        <f>IFERROR(VLOOKUP(A10,'Pedido '!B:O,14,),"  ")</f>
        <v xml:space="preserve">  </v>
      </c>
    </row>
    <row r="11" spans="1:5" x14ac:dyDescent="0.25">
      <c r="A11" s="1">
        <v>405561</v>
      </c>
      <c r="B11" t="s">
        <v>109</v>
      </c>
      <c r="C11" s="11" t="str">
        <f>IFERROR(VLOOKUP(A11,'Pedido '!B:O,11,),"  ")</f>
        <v xml:space="preserve">  </v>
      </c>
      <c r="D11" s="5" t="str">
        <f>IFERROR(VLOOKUP(A11,'Pedido '!B:O,12,),"  ")</f>
        <v xml:space="preserve">  </v>
      </c>
      <c r="E11" s="17" t="str">
        <f>IFERROR(VLOOKUP(A11,'Pedido '!B:O,14,),"  ")</f>
        <v xml:space="preserve">  </v>
      </c>
    </row>
    <row r="12" spans="1:5" x14ac:dyDescent="0.25">
      <c r="A12" s="1">
        <v>405574</v>
      </c>
      <c r="B12" t="s">
        <v>110</v>
      </c>
      <c r="C12" s="11" t="str">
        <f>IFERROR(VLOOKUP(A12,'Pedido '!B:O,11,),"  ")</f>
        <v xml:space="preserve">  </v>
      </c>
      <c r="D12" s="5" t="str">
        <f>IFERROR(VLOOKUP(A12,'Pedido '!B:O,12,),"  ")</f>
        <v xml:space="preserve">  </v>
      </c>
      <c r="E12" s="17" t="str">
        <f>IFERROR(VLOOKUP(A12,'Pedido '!B:O,14,),"  ")</f>
        <v xml:space="preserve">  </v>
      </c>
    </row>
    <row r="13" spans="1:5" x14ac:dyDescent="0.25">
      <c r="A13" s="1">
        <v>405584</v>
      </c>
      <c r="B13" t="s">
        <v>111</v>
      </c>
      <c r="C13" s="11" t="str">
        <f>IFERROR(VLOOKUP(A13,'Pedido '!B:O,11,),"  ")</f>
        <v xml:space="preserve">  </v>
      </c>
      <c r="D13" s="5" t="str">
        <f>IFERROR(VLOOKUP(A13,'Pedido '!B:O,12,),"  ")</f>
        <v xml:space="preserve">  </v>
      </c>
      <c r="E13" s="17" t="str">
        <f>IFERROR(VLOOKUP(A13,'Pedido '!B:O,14,),"  ")</f>
        <v xml:space="preserve">  </v>
      </c>
    </row>
    <row r="14" spans="1:5" x14ac:dyDescent="0.25">
      <c r="A14" s="1">
        <v>405525</v>
      </c>
      <c r="B14" t="s">
        <v>112</v>
      </c>
      <c r="C14" s="11" t="str">
        <f>IFERROR(VLOOKUP(A14,'Pedido '!B:O,11,),"  ")</f>
        <v xml:space="preserve">  </v>
      </c>
      <c r="D14" s="5" t="str">
        <f>IFERROR(VLOOKUP(A14,'Pedido '!B:O,12,),"  ")</f>
        <v xml:space="preserve">  </v>
      </c>
      <c r="E14" s="17" t="str">
        <f>IFERROR(VLOOKUP(A14,'Pedido '!B:O,14,),"  ")</f>
        <v xml:space="preserve">  </v>
      </c>
    </row>
    <row r="15" spans="1:5" x14ac:dyDescent="0.25">
      <c r="A15" s="1">
        <v>405526</v>
      </c>
      <c r="B15" t="s">
        <v>113</v>
      </c>
      <c r="C15" s="11" t="str">
        <f>IFERROR(VLOOKUP(A15,'Pedido '!B:O,11,),"  ")</f>
        <v xml:space="preserve">  </v>
      </c>
      <c r="D15" s="5" t="str">
        <f>IFERROR(VLOOKUP(A15,'Pedido '!B:O,12,),"  ")</f>
        <v xml:space="preserve">  </v>
      </c>
      <c r="E15" s="17" t="str">
        <f>IFERROR(VLOOKUP(A15,'Pedido '!B:O,14,),"  ")</f>
        <v xml:space="preserve">  </v>
      </c>
    </row>
    <row r="16" spans="1:5" x14ac:dyDescent="0.25">
      <c r="A16" s="1">
        <v>405527</v>
      </c>
      <c r="B16" t="s">
        <v>114</v>
      </c>
      <c r="C16" s="11" t="str">
        <f>IFERROR(VLOOKUP(A16,'Pedido '!B:O,11,),"  ")</f>
        <v xml:space="preserve">  </v>
      </c>
      <c r="D16" s="5" t="str">
        <f>IFERROR(VLOOKUP(A16,'Pedido '!B:O,12,),"  ")</f>
        <v xml:space="preserve">  </v>
      </c>
      <c r="E16" s="17" t="str">
        <f>IFERROR(VLOOKUP(A16,'Pedido '!B:O,14,),"  ")</f>
        <v xml:space="preserve">  </v>
      </c>
    </row>
    <row r="17" spans="1:5" x14ac:dyDescent="0.25">
      <c r="A17" s="1">
        <v>405528</v>
      </c>
      <c r="B17" t="s">
        <v>115</v>
      </c>
      <c r="C17" s="11" t="str">
        <f>IFERROR(VLOOKUP(A17,'Pedido '!B:O,11,),"  ")</f>
        <v xml:space="preserve">  </v>
      </c>
      <c r="D17" s="5" t="str">
        <f>IFERROR(VLOOKUP(A17,'Pedido '!B:O,12,),"  ")</f>
        <v xml:space="preserve">  </v>
      </c>
      <c r="E17" s="17" t="str">
        <f>IFERROR(VLOOKUP(A17,'Pedido '!B:O,14,),"  ")</f>
        <v xml:space="preserve">  </v>
      </c>
    </row>
    <row r="18" spans="1:5" x14ac:dyDescent="0.25">
      <c r="A18" s="1">
        <v>405529</v>
      </c>
      <c r="B18" t="s">
        <v>116</v>
      </c>
      <c r="C18" s="11" t="str">
        <f>IFERROR(VLOOKUP(A18,'Pedido '!B:O,11,),"  ")</f>
        <v xml:space="preserve">  </v>
      </c>
      <c r="D18" s="5" t="str">
        <f>IFERROR(VLOOKUP(A18,'Pedido '!B:O,12,),"  ")</f>
        <v xml:space="preserve">  </v>
      </c>
      <c r="E18" s="17" t="str">
        <f>IFERROR(VLOOKUP(A18,'Pedido '!B:O,14,),"  ")</f>
        <v xml:space="preserve">  </v>
      </c>
    </row>
    <row r="19" spans="1:5" x14ac:dyDescent="0.25">
      <c r="A19" s="1">
        <v>405611</v>
      </c>
      <c r="B19" t="s">
        <v>117</v>
      </c>
      <c r="C19" s="11" t="str">
        <f>IFERROR(VLOOKUP(A19,'Pedido '!B:O,11,),"  ")</f>
        <v xml:space="preserve">  </v>
      </c>
      <c r="D19" s="5" t="str">
        <f>IFERROR(VLOOKUP(A19,'Pedido '!B:O,12,),"  ")</f>
        <v xml:space="preserve">  </v>
      </c>
      <c r="E19" s="17" t="str">
        <f>IFERROR(VLOOKUP(A19,'Pedido '!B:O,14,),"  ")</f>
        <v xml:space="preserve">  </v>
      </c>
    </row>
    <row r="20" spans="1:5" x14ac:dyDescent="0.25">
      <c r="A20" s="1">
        <v>405530</v>
      </c>
      <c r="B20" t="s">
        <v>118</v>
      </c>
      <c r="C20" s="11" t="str">
        <f>IFERROR(VLOOKUP(A20,'Pedido '!B:O,11,),"  ")</f>
        <v xml:space="preserve">  </v>
      </c>
      <c r="D20" s="5" t="str">
        <f>IFERROR(VLOOKUP(A20,'Pedido '!B:O,12,),"  ")</f>
        <v xml:space="preserve">  </v>
      </c>
      <c r="E20" s="17" t="str">
        <f>IFERROR(VLOOKUP(A20,'Pedido '!B:O,14,),"  ")</f>
        <v xml:space="preserve">  </v>
      </c>
    </row>
    <row r="21" spans="1:5" x14ac:dyDescent="0.25">
      <c r="A21" s="1">
        <v>405531</v>
      </c>
      <c r="B21" t="s">
        <v>119</v>
      </c>
      <c r="C21" s="11" t="str">
        <f>IFERROR(VLOOKUP(A21,'Pedido '!B:O,11,),"  ")</f>
        <v xml:space="preserve">  </v>
      </c>
      <c r="D21" s="5" t="str">
        <f>IFERROR(VLOOKUP(A21,'Pedido '!B:O,12,),"  ")</f>
        <v xml:space="preserve">  </v>
      </c>
      <c r="E21" s="17" t="str">
        <f>IFERROR(VLOOKUP(A21,'Pedido '!B:O,14,),"  ")</f>
        <v xml:space="preserve">  </v>
      </c>
    </row>
    <row r="22" spans="1:5" x14ac:dyDescent="0.25">
      <c r="A22" s="1">
        <v>405532</v>
      </c>
      <c r="B22" t="s">
        <v>120</v>
      </c>
      <c r="C22" s="11" t="str">
        <f>IFERROR(VLOOKUP(A22,'Pedido '!B:O,11,),"  ")</f>
        <v xml:space="preserve">  </v>
      </c>
      <c r="D22" s="5" t="str">
        <f>IFERROR(VLOOKUP(A22,'Pedido '!B:O,12,),"  ")</f>
        <v xml:space="preserve">  </v>
      </c>
      <c r="E22" s="17" t="str">
        <f>IFERROR(VLOOKUP(A22,'Pedido '!B:O,14,),"  ")</f>
        <v xml:space="preserve">  </v>
      </c>
    </row>
    <row r="23" spans="1:5" x14ac:dyDescent="0.25">
      <c r="A23" s="1">
        <v>405535</v>
      </c>
      <c r="B23" t="s">
        <v>121</v>
      </c>
      <c r="C23" s="11" t="str">
        <f>IFERROR(VLOOKUP(A23,'Pedido '!B:O,11,),"  ")</f>
        <v xml:space="preserve">  </v>
      </c>
      <c r="D23" s="5" t="str">
        <f>IFERROR(VLOOKUP(A23,'Pedido '!B:O,12,),"  ")</f>
        <v xml:space="preserve">  </v>
      </c>
      <c r="E23" s="17" t="str">
        <f>IFERROR(VLOOKUP(A23,'Pedido '!B:O,14,),"  ")</f>
        <v xml:space="preserve">  </v>
      </c>
    </row>
    <row r="24" spans="1:5" x14ac:dyDescent="0.25">
      <c r="A24" s="1">
        <v>405536</v>
      </c>
      <c r="B24" t="s">
        <v>122</v>
      </c>
      <c r="C24" s="11" t="str">
        <f>IFERROR(VLOOKUP(A24,'Pedido '!B:O,11,),"  ")</f>
        <v xml:space="preserve">  </v>
      </c>
      <c r="D24" s="5" t="str">
        <f>IFERROR(VLOOKUP(A24,'Pedido '!B:O,12,),"  ")</f>
        <v xml:space="preserve">  </v>
      </c>
      <c r="E24" s="17" t="str">
        <f>IFERROR(VLOOKUP(A24,'Pedido '!B:O,14,),"  ")</f>
        <v xml:space="preserve">  </v>
      </c>
    </row>
    <row r="25" spans="1:5" x14ac:dyDescent="0.25">
      <c r="A25" s="1">
        <v>405538</v>
      </c>
      <c r="B25" t="s">
        <v>123</v>
      </c>
      <c r="C25" s="11" t="str">
        <f>IFERROR(VLOOKUP(A25,'Pedido '!B:O,11,),"  ")</f>
        <v xml:space="preserve">  </v>
      </c>
      <c r="D25" s="5" t="str">
        <f>IFERROR(VLOOKUP(A25,'Pedido '!B:O,12,),"  ")</f>
        <v xml:space="preserve">  </v>
      </c>
      <c r="E25" s="17" t="str">
        <f>IFERROR(VLOOKUP(A25,'Pedido '!B:O,14,),"  ")</f>
        <v xml:space="preserve">  </v>
      </c>
    </row>
    <row r="26" spans="1:5" x14ac:dyDescent="0.25">
      <c r="A26" s="1">
        <v>405539</v>
      </c>
      <c r="B26" t="s">
        <v>124</v>
      </c>
      <c r="C26" s="11" t="str">
        <f>IFERROR(VLOOKUP(A26,'Pedido '!B:O,11,),"  ")</f>
        <v xml:space="preserve">  </v>
      </c>
      <c r="D26" s="5" t="str">
        <f>IFERROR(VLOOKUP(A26,'Pedido '!B:O,12,),"  ")</f>
        <v xml:space="preserve">  </v>
      </c>
      <c r="E26" s="17" t="str">
        <f>IFERROR(VLOOKUP(A26,'Pedido '!B:O,14,),"  ")</f>
        <v xml:space="preserve">  </v>
      </c>
    </row>
    <row r="27" spans="1:5" x14ac:dyDescent="0.25">
      <c r="A27" s="1">
        <v>405540</v>
      </c>
      <c r="B27" t="s">
        <v>125</v>
      </c>
      <c r="C27" s="11" t="str">
        <f>IFERROR(VLOOKUP(A27,'Pedido '!B:O,11,),"  ")</f>
        <v xml:space="preserve">  </v>
      </c>
      <c r="D27" s="5" t="str">
        <f>IFERROR(VLOOKUP(A27,'Pedido '!B:O,12,),"  ")</f>
        <v xml:space="preserve">  </v>
      </c>
      <c r="E27" s="17" t="str">
        <f>IFERROR(VLOOKUP(A27,'Pedido '!B:O,14,),"  ")</f>
        <v xml:space="preserve">  </v>
      </c>
    </row>
    <row r="28" spans="1:5" x14ac:dyDescent="0.25">
      <c r="A28" s="1">
        <v>405541</v>
      </c>
      <c r="B28" t="s">
        <v>126</v>
      </c>
      <c r="C28" s="11" t="str">
        <f>IFERROR(VLOOKUP(A28,'Pedido '!B:O,11,),"  ")</f>
        <v xml:space="preserve">  </v>
      </c>
      <c r="D28" s="5" t="str">
        <f>IFERROR(VLOOKUP(A28,'Pedido '!B:O,12,),"  ")</f>
        <v xml:space="preserve">  </v>
      </c>
      <c r="E28" s="17" t="str">
        <f>IFERROR(VLOOKUP(A28,'Pedido '!B:O,14,),"  ")</f>
        <v xml:space="preserve">  </v>
      </c>
    </row>
    <row r="29" spans="1:5" x14ac:dyDescent="0.25">
      <c r="A29" s="1">
        <v>405542</v>
      </c>
      <c r="B29" t="s">
        <v>127</v>
      </c>
      <c r="C29" s="11" t="str">
        <f>IFERROR(VLOOKUP(A29,'Pedido '!B:O,11,),"  ")</f>
        <v xml:space="preserve">  </v>
      </c>
      <c r="D29" s="5" t="str">
        <f>IFERROR(VLOOKUP(A29,'Pedido '!B:O,12,),"  ")</f>
        <v xml:space="preserve">  </v>
      </c>
      <c r="E29" s="17" t="str">
        <f>IFERROR(VLOOKUP(A29,'Pedido '!B:O,14,),"  ")</f>
        <v xml:space="preserve">  </v>
      </c>
    </row>
    <row r="30" spans="1:5" x14ac:dyDescent="0.25">
      <c r="A30" s="1">
        <v>405543</v>
      </c>
      <c r="B30" t="s">
        <v>128</v>
      </c>
      <c r="C30" s="11" t="str">
        <f>IFERROR(VLOOKUP(A30,'Pedido '!B:O,11,),"  ")</f>
        <v xml:space="preserve">  </v>
      </c>
      <c r="D30" s="5" t="str">
        <f>IFERROR(VLOOKUP(A30,'Pedido '!B:O,12,),"  ")</f>
        <v xml:space="preserve">  </v>
      </c>
      <c r="E30" s="17" t="str">
        <f>IFERROR(VLOOKUP(A30,'Pedido '!B:O,14,),"  ")</f>
        <v xml:space="preserve">  </v>
      </c>
    </row>
    <row r="31" spans="1:5" x14ac:dyDescent="0.25">
      <c r="A31" s="1">
        <v>405544</v>
      </c>
      <c r="B31" t="s">
        <v>129</v>
      </c>
      <c r="C31" s="11" t="str">
        <f>IFERROR(VLOOKUP(A31,'Pedido '!B:O,11,),"  ")</f>
        <v xml:space="preserve">  </v>
      </c>
      <c r="D31" s="5" t="str">
        <f>IFERROR(VLOOKUP(A31,'Pedido '!B:O,12,),"  ")</f>
        <v xml:space="preserve">  </v>
      </c>
      <c r="E31" s="17" t="str">
        <f>IFERROR(VLOOKUP(A31,'Pedido '!B:O,14,),"  ")</f>
        <v xml:space="preserve">  </v>
      </c>
    </row>
    <row r="32" spans="1:5" x14ac:dyDescent="0.25">
      <c r="A32" s="1">
        <v>405545</v>
      </c>
      <c r="B32" t="s">
        <v>130</v>
      </c>
      <c r="C32" s="11" t="str">
        <f>IFERROR(VLOOKUP(A32,'Pedido '!B:O,11,),"  ")</f>
        <v xml:space="preserve">  </v>
      </c>
      <c r="D32" s="5" t="str">
        <f>IFERROR(VLOOKUP(A32,'Pedido '!B:O,12,),"  ")</f>
        <v xml:space="preserve">  </v>
      </c>
      <c r="E32" s="17" t="str">
        <f>IFERROR(VLOOKUP(A32,'Pedido '!B:O,14,),"  ")</f>
        <v xml:space="preserve">  </v>
      </c>
    </row>
    <row r="33" spans="1:5" x14ac:dyDescent="0.25">
      <c r="A33" s="1">
        <v>405546</v>
      </c>
      <c r="B33" t="s">
        <v>131</v>
      </c>
      <c r="C33" s="11" t="str">
        <f>IFERROR(VLOOKUP(A33,'Pedido '!B:O,11,),"  ")</f>
        <v xml:space="preserve">  </v>
      </c>
      <c r="D33" s="5" t="str">
        <f>IFERROR(VLOOKUP(A33,'Pedido '!B:O,12,),"  ")</f>
        <v xml:space="preserve">  </v>
      </c>
      <c r="E33" s="17" t="str">
        <f>IFERROR(VLOOKUP(A33,'Pedido '!B:O,14,),"  ")</f>
        <v xml:space="preserve">  </v>
      </c>
    </row>
    <row r="34" spans="1:5" x14ac:dyDescent="0.25">
      <c r="A34" s="1">
        <v>405547</v>
      </c>
      <c r="B34" t="s">
        <v>132</v>
      </c>
      <c r="C34" s="11" t="str">
        <f>IFERROR(VLOOKUP(A34,'Pedido '!B:O,11,),"  ")</f>
        <v xml:space="preserve">  </v>
      </c>
      <c r="D34" s="5" t="str">
        <f>IFERROR(VLOOKUP(A34,'Pedido '!B:O,12,),"  ")</f>
        <v xml:space="preserve">  </v>
      </c>
      <c r="E34" s="17" t="str">
        <f>IFERROR(VLOOKUP(A34,'Pedido '!B:O,14,),"  ")</f>
        <v xml:space="preserve">  </v>
      </c>
    </row>
    <row r="35" spans="1:5" x14ac:dyDescent="0.25">
      <c r="A35" s="1">
        <v>405549</v>
      </c>
      <c r="B35" t="s">
        <v>133</v>
      </c>
      <c r="C35" s="11" t="str">
        <f>IFERROR(VLOOKUP(A35,'Pedido '!B:O,11,),"  ")</f>
        <v xml:space="preserve">  </v>
      </c>
      <c r="D35" s="5" t="str">
        <f>IFERROR(VLOOKUP(A35,'Pedido '!B:O,12,),"  ")</f>
        <v xml:space="preserve">  </v>
      </c>
      <c r="E35" s="17" t="str">
        <f>IFERROR(VLOOKUP(A35,'Pedido '!B:O,14,),"  ")</f>
        <v xml:space="preserve">  </v>
      </c>
    </row>
    <row r="36" spans="1:5" x14ac:dyDescent="0.25">
      <c r="A36" s="1">
        <v>405550</v>
      </c>
      <c r="B36" t="s">
        <v>134</v>
      </c>
      <c r="C36" s="11" t="str">
        <f>IFERROR(VLOOKUP(A36,'Pedido '!B:O,11,),"  ")</f>
        <v xml:space="preserve">  </v>
      </c>
      <c r="D36" s="5" t="str">
        <f>IFERROR(VLOOKUP(A36,'Pedido '!B:O,12,),"  ")</f>
        <v xml:space="preserve">  </v>
      </c>
      <c r="E36" s="17" t="str">
        <f>IFERROR(VLOOKUP(A36,'Pedido '!B:O,14,),"  ")</f>
        <v xml:space="preserve">  </v>
      </c>
    </row>
    <row r="37" spans="1:5" x14ac:dyDescent="0.25">
      <c r="A37" s="1">
        <v>405551</v>
      </c>
      <c r="B37" t="s">
        <v>135</v>
      </c>
      <c r="C37" s="11" t="str">
        <f>IFERROR(VLOOKUP(A37,'Pedido '!B:O,11,),"  ")</f>
        <v xml:space="preserve">  </v>
      </c>
      <c r="D37" s="5" t="str">
        <f>IFERROR(VLOOKUP(A37,'Pedido '!B:O,12,),"  ")</f>
        <v xml:space="preserve">  </v>
      </c>
      <c r="E37" s="17" t="str">
        <f>IFERROR(VLOOKUP(A37,'Pedido '!B:O,14,),"  ")</f>
        <v xml:space="preserve">  </v>
      </c>
    </row>
    <row r="38" spans="1:5" x14ac:dyDescent="0.25">
      <c r="A38" s="1">
        <v>405552</v>
      </c>
      <c r="B38" t="s">
        <v>136</v>
      </c>
      <c r="C38" s="11" t="str">
        <f>IFERROR(VLOOKUP(A38,'Pedido '!B:O,11,),"  ")</f>
        <v xml:space="preserve">  </v>
      </c>
      <c r="D38" s="5" t="str">
        <f>IFERROR(VLOOKUP(A38,'Pedido '!B:O,12,),"  ")</f>
        <v xml:space="preserve">  </v>
      </c>
      <c r="E38" s="17" t="str">
        <f>IFERROR(VLOOKUP(A38,'Pedido '!B:O,14,),"  ")</f>
        <v xml:space="preserve">  </v>
      </c>
    </row>
    <row r="39" spans="1:5" x14ac:dyDescent="0.25">
      <c r="A39" s="1">
        <v>405553</v>
      </c>
      <c r="B39" t="s">
        <v>137</v>
      </c>
      <c r="C39" s="11" t="str">
        <f>IFERROR(VLOOKUP(A39,'Pedido '!B:O,11,),"  ")</f>
        <v xml:space="preserve">  </v>
      </c>
      <c r="D39" s="5" t="str">
        <f>IFERROR(VLOOKUP(A39,'Pedido '!B:O,12,),"  ")</f>
        <v xml:space="preserve">  </v>
      </c>
      <c r="E39" s="17" t="str">
        <f>IFERROR(VLOOKUP(A39,'Pedido '!B:O,14,),"  ")</f>
        <v xml:space="preserve">  </v>
      </c>
    </row>
    <row r="40" spans="1:5" x14ac:dyDescent="0.25">
      <c r="A40" s="1">
        <v>405554</v>
      </c>
      <c r="B40" t="s">
        <v>138</v>
      </c>
      <c r="C40" s="11" t="str">
        <f>IFERROR(VLOOKUP(A40,'Pedido '!B:O,11,),"  ")</f>
        <v xml:space="preserve">  </v>
      </c>
      <c r="D40" s="5" t="str">
        <f>IFERROR(VLOOKUP(A40,'Pedido '!B:O,12,),"  ")</f>
        <v xml:space="preserve">  </v>
      </c>
      <c r="E40" s="17" t="str">
        <f>IFERROR(VLOOKUP(A40,'Pedido '!B:O,14,),"  ")</f>
        <v xml:space="preserve">  </v>
      </c>
    </row>
    <row r="41" spans="1:5" x14ac:dyDescent="0.25">
      <c r="A41" s="1">
        <v>405600</v>
      </c>
      <c r="B41" t="s">
        <v>139</v>
      </c>
      <c r="C41" s="11" t="str">
        <f>IFERROR(VLOOKUP(A41,'Pedido '!B:O,11,),"  ")</f>
        <v xml:space="preserve">  </v>
      </c>
      <c r="D41" s="5" t="str">
        <f>IFERROR(VLOOKUP(A41,'Pedido '!B:O,12,),"  ")</f>
        <v xml:space="preserve">  </v>
      </c>
      <c r="E41" s="17" t="str">
        <f>IFERROR(VLOOKUP(A41,'Pedido '!B:O,14,),"  ")</f>
        <v xml:space="preserve">  </v>
      </c>
    </row>
    <row r="42" spans="1:5" x14ac:dyDescent="0.25">
      <c r="A42" s="1">
        <v>405555</v>
      </c>
      <c r="B42" t="s">
        <v>140</v>
      </c>
      <c r="C42" s="11" t="str">
        <f>IFERROR(VLOOKUP(A42,'Pedido '!B:O,11,),"  ")</f>
        <v xml:space="preserve">  </v>
      </c>
      <c r="D42" s="5" t="str">
        <f>IFERROR(VLOOKUP(A42,'Pedido '!B:O,12,),"  ")</f>
        <v xml:space="preserve">  </v>
      </c>
      <c r="E42" s="17" t="str">
        <f>IFERROR(VLOOKUP(A42,'Pedido '!B:O,14,),"  ")</f>
        <v xml:space="preserve">  </v>
      </c>
    </row>
    <row r="43" spans="1:5" x14ac:dyDescent="0.25">
      <c r="A43" s="1">
        <v>405556</v>
      </c>
      <c r="B43" t="s">
        <v>141</v>
      </c>
      <c r="C43" s="11" t="str">
        <f>IFERROR(VLOOKUP(A43,'Pedido '!B:O,11,),"  ")</f>
        <v xml:space="preserve">  </v>
      </c>
      <c r="D43" s="5" t="str">
        <f>IFERROR(VLOOKUP(A43,'Pedido '!B:O,12,),"  ")</f>
        <v xml:space="preserve">  </v>
      </c>
      <c r="E43" s="17" t="str">
        <f>IFERROR(VLOOKUP(A43,'Pedido '!B:O,14,),"  ")</f>
        <v xml:space="preserve">  </v>
      </c>
    </row>
    <row r="44" spans="1:5" x14ac:dyDescent="0.25">
      <c r="A44" s="1">
        <v>405596</v>
      </c>
      <c r="B44" t="s">
        <v>142</v>
      </c>
      <c r="C44" s="11" t="str">
        <f>IFERROR(VLOOKUP(A44,'Pedido '!B:O,11,),"  ")</f>
        <v xml:space="preserve">  </v>
      </c>
      <c r="D44" s="5" t="str">
        <f>IFERROR(VLOOKUP(A44,'Pedido '!B:O,12,),"  ")</f>
        <v xml:space="preserve">  </v>
      </c>
      <c r="E44" s="17" t="str">
        <f>IFERROR(VLOOKUP(A44,'Pedido '!B:O,14,),"  ")</f>
        <v xml:space="preserve">  </v>
      </c>
    </row>
    <row r="45" spans="1:5" x14ac:dyDescent="0.25">
      <c r="A45" s="1">
        <v>405557</v>
      </c>
      <c r="B45" t="s">
        <v>143</v>
      </c>
      <c r="C45" s="11" t="str">
        <f>IFERROR(VLOOKUP(A45,'Pedido '!B:O,11,),"  ")</f>
        <v xml:space="preserve">  </v>
      </c>
      <c r="D45" s="5" t="str">
        <f>IFERROR(VLOOKUP(A45,'Pedido '!B:O,12,),"  ")</f>
        <v xml:space="preserve">  </v>
      </c>
      <c r="E45" s="17" t="str">
        <f>IFERROR(VLOOKUP(A45,'Pedido '!B:O,14,),"  ")</f>
        <v xml:space="preserve">  </v>
      </c>
    </row>
    <row r="46" spans="1:5" x14ac:dyDescent="0.25">
      <c r="A46" s="1">
        <v>405558</v>
      </c>
      <c r="B46" t="s">
        <v>144</v>
      </c>
      <c r="C46" s="11" t="str">
        <f>IFERROR(VLOOKUP(A46,'Pedido '!B:O,11,),"  ")</f>
        <v xml:space="preserve">  </v>
      </c>
      <c r="D46" s="5" t="str">
        <f>IFERROR(VLOOKUP(A46,'Pedido '!B:O,12,),"  ")</f>
        <v xml:space="preserve">  </v>
      </c>
      <c r="E46" s="17" t="str">
        <f>IFERROR(VLOOKUP(A46,'Pedido '!B:O,14,),"  ")</f>
        <v xml:space="preserve">  </v>
      </c>
    </row>
    <row r="47" spans="1:5" x14ac:dyDescent="0.25">
      <c r="A47" s="1">
        <v>405559</v>
      </c>
      <c r="B47" t="s">
        <v>145</v>
      </c>
      <c r="C47" s="11" t="str">
        <f>IFERROR(VLOOKUP(A47,'Pedido '!B:O,11,),"  ")</f>
        <v xml:space="preserve">  </v>
      </c>
      <c r="D47" s="5" t="str">
        <f>IFERROR(VLOOKUP(A47,'Pedido '!B:O,12,),"  ")</f>
        <v xml:space="preserve">  </v>
      </c>
      <c r="E47" s="17" t="str">
        <f>IFERROR(VLOOKUP(A47,'Pedido '!B:O,14,),"  ")</f>
        <v xml:space="preserve">  </v>
      </c>
    </row>
    <row r="48" spans="1:5" x14ac:dyDescent="0.25">
      <c r="A48" s="1">
        <v>405614</v>
      </c>
      <c r="B48" t="s">
        <v>146</v>
      </c>
      <c r="C48" s="11" t="str">
        <f>IFERROR(VLOOKUP(A48,'Pedido '!B:O,11,),"  ")</f>
        <v xml:space="preserve">  </v>
      </c>
      <c r="D48" s="5" t="str">
        <f>IFERROR(VLOOKUP(A48,'Pedido '!B:O,12,),"  ")</f>
        <v xml:space="preserve">  </v>
      </c>
      <c r="E48" s="17" t="str">
        <f>IFERROR(VLOOKUP(A48,'Pedido '!B:O,14,),"  ")</f>
        <v xml:space="preserve">  </v>
      </c>
    </row>
    <row r="49" spans="1:5" x14ac:dyDescent="0.25">
      <c r="A49" s="1">
        <v>405560</v>
      </c>
      <c r="B49" t="s">
        <v>147</v>
      </c>
      <c r="C49" s="11" t="str">
        <f>IFERROR(VLOOKUP(A49,'Pedido '!B:O,11,),"  ")</f>
        <v xml:space="preserve">  </v>
      </c>
      <c r="D49" s="5" t="str">
        <f>IFERROR(VLOOKUP(A49,'Pedido '!B:O,12,),"  ")</f>
        <v xml:space="preserve">  </v>
      </c>
      <c r="E49" s="17" t="str">
        <f>IFERROR(VLOOKUP(A49,'Pedido '!B:O,14,),"  ")</f>
        <v xml:space="preserve">  </v>
      </c>
    </row>
    <row r="50" spans="1:5" x14ac:dyDescent="0.25">
      <c r="A50" s="1">
        <v>405710</v>
      </c>
      <c r="B50" t="s">
        <v>148</v>
      </c>
      <c r="C50" s="11" t="str">
        <f>IFERROR(VLOOKUP(A50,'Pedido '!B:O,11,),"  ")</f>
        <v xml:space="preserve">  </v>
      </c>
      <c r="D50" s="5" t="str">
        <f>IFERROR(VLOOKUP(A50,'Pedido '!B:O,12,),"  ")</f>
        <v xml:space="preserve">  </v>
      </c>
      <c r="E50" s="17" t="str">
        <f>IFERROR(VLOOKUP(A50,'Pedido '!B:O,14,),"  ")</f>
        <v xml:space="preserve">  </v>
      </c>
    </row>
    <row r="51" spans="1:5" x14ac:dyDescent="0.25">
      <c r="A51" s="1">
        <v>405650</v>
      </c>
      <c r="B51" t="s">
        <v>149</v>
      </c>
      <c r="C51" s="11" t="str">
        <f>IFERROR(VLOOKUP(A51,'Pedido '!B:O,11,),"  ")</f>
        <v xml:space="preserve">  </v>
      </c>
      <c r="D51" s="5" t="str">
        <f>IFERROR(VLOOKUP(A51,'Pedido '!B:O,12,),"  ")</f>
        <v xml:space="preserve">  </v>
      </c>
      <c r="E51" s="17" t="str">
        <f>IFERROR(VLOOKUP(A51,'Pedido '!B:O,14,),"  ")</f>
        <v xml:space="preserve">  </v>
      </c>
    </row>
    <row r="52" spans="1:5" x14ac:dyDescent="0.25">
      <c r="A52" s="1">
        <v>405613</v>
      </c>
      <c r="B52" t="s">
        <v>150</v>
      </c>
      <c r="C52" s="11" t="str">
        <f>IFERROR(VLOOKUP(A52,'Pedido '!B:O,11,),"  ")</f>
        <v xml:space="preserve">  </v>
      </c>
      <c r="D52" s="5" t="str">
        <f>IFERROR(VLOOKUP(A52,'Pedido '!B:O,12,),"  ")</f>
        <v xml:space="preserve">  </v>
      </c>
      <c r="E52" s="17" t="str">
        <f>IFERROR(VLOOKUP(A52,'Pedido '!B:O,14,),"  ")</f>
        <v xml:space="preserve">  </v>
      </c>
    </row>
    <row r="53" spans="1:5" x14ac:dyDescent="0.25">
      <c r="A53" s="1">
        <v>405562</v>
      </c>
      <c r="B53" t="s">
        <v>151</v>
      </c>
      <c r="C53" s="11" t="str">
        <f>IFERROR(VLOOKUP(A53,'Pedido '!B:O,11,),"  ")</f>
        <v xml:space="preserve">  </v>
      </c>
      <c r="D53" s="5" t="str">
        <f>IFERROR(VLOOKUP(A53,'Pedido '!B:O,12,),"  ")</f>
        <v xml:space="preserve">  </v>
      </c>
      <c r="E53" s="17" t="str">
        <f>IFERROR(VLOOKUP(A53,'Pedido '!B:O,14,),"  ")</f>
        <v xml:space="preserve">  </v>
      </c>
    </row>
    <row r="54" spans="1:5" x14ac:dyDescent="0.25">
      <c r="A54" s="1">
        <v>405563</v>
      </c>
      <c r="B54" t="s">
        <v>152</v>
      </c>
      <c r="C54" s="11" t="str">
        <f>IFERROR(VLOOKUP(A54,'Pedido '!B:O,11,),"  ")</f>
        <v xml:space="preserve">  </v>
      </c>
      <c r="D54" s="5" t="str">
        <f>IFERROR(VLOOKUP(A54,'Pedido '!B:O,12,),"  ")</f>
        <v xml:space="preserve">  </v>
      </c>
      <c r="E54" s="17" t="str">
        <f>IFERROR(VLOOKUP(A54,'Pedido '!B:O,14,),"  ")</f>
        <v xml:space="preserve">  </v>
      </c>
    </row>
    <row r="55" spans="1:5" x14ac:dyDescent="0.25">
      <c r="A55" s="1">
        <v>405564</v>
      </c>
      <c r="B55" t="s">
        <v>153</v>
      </c>
      <c r="C55" s="11" t="str">
        <f>IFERROR(VLOOKUP(A55,'Pedido '!B:O,11,),"  ")</f>
        <v xml:space="preserve">  </v>
      </c>
      <c r="D55" s="5" t="str">
        <f>IFERROR(VLOOKUP(A55,'Pedido '!B:O,12,),"  ")</f>
        <v xml:space="preserve">  </v>
      </c>
      <c r="E55" s="17" t="str">
        <f>IFERROR(VLOOKUP(A55,'Pedido '!B:O,14,),"  ")</f>
        <v xml:space="preserve">  </v>
      </c>
    </row>
    <row r="56" spans="1:5" x14ac:dyDescent="0.25">
      <c r="A56" s="1">
        <v>405565</v>
      </c>
      <c r="B56" t="s">
        <v>154</v>
      </c>
      <c r="C56" s="11" t="str">
        <f>IFERROR(VLOOKUP(A56,'Pedido '!B:O,11,),"  ")</f>
        <v xml:space="preserve">  </v>
      </c>
      <c r="D56" s="5" t="str">
        <f>IFERROR(VLOOKUP(A56,'Pedido '!B:O,12,),"  ")</f>
        <v xml:space="preserve">  </v>
      </c>
      <c r="E56" s="17" t="str">
        <f>IFERROR(VLOOKUP(A56,'Pedido '!B:O,14,),"  ")</f>
        <v xml:space="preserve">  </v>
      </c>
    </row>
    <row r="57" spans="1:5" x14ac:dyDescent="0.25">
      <c r="A57" s="1">
        <v>405566</v>
      </c>
      <c r="B57" t="s">
        <v>155</v>
      </c>
      <c r="C57" s="11" t="str">
        <f>IFERROR(VLOOKUP(A57,'Pedido '!B:O,11,),"  ")</f>
        <v xml:space="preserve">  </v>
      </c>
      <c r="D57" s="5" t="str">
        <f>IFERROR(VLOOKUP(A57,'Pedido '!B:O,12,),"  ")</f>
        <v xml:space="preserve">  </v>
      </c>
      <c r="E57" s="17" t="str">
        <f>IFERROR(VLOOKUP(A57,'Pedido '!B:O,14,),"  ")</f>
        <v xml:space="preserve">  </v>
      </c>
    </row>
    <row r="58" spans="1:5" x14ac:dyDescent="0.25">
      <c r="A58" s="1">
        <v>405567</v>
      </c>
      <c r="B58" t="s">
        <v>156</v>
      </c>
      <c r="C58" s="11" t="str">
        <f>IFERROR(VLOOKUP(A58,'Pedido '!B:O,11,),"  ")</f>
        <v xml:space="preserve">  </v>
      </c>
      <c r="D58" s="5" t="str">
        <f>IFERROR(VLOOKUP(A58,'Pedido '!B:O,12,),"  ")</f>
        <v xml:space="preserve">  </v>
      </c>
      <c r="E58" s="17" t="str">
        <f>IFERROR(VLOOKUP(A58,'Pedido '!B:O,14,),"  ")</f>
        <v xml:space="preserve">  </v>
      </c>
    </row>
    <row r="59" spans="1:5" x14ac:dyDescent="0.25">
      <c r="A59" s="1">
        <v>405599</v>
      </c>
      <c r="B59" t="s">
        <v>157</v>
      </c>
      <c r="C59" s="11" t="str">
        <f>IFERROR(VLOOKUP(A59,'Pedido '!B:O,11,),"  ")</f>
        <v xml:space="preserve">  </v>
      </c>
      <c r="D59" s="5" t="str">
        <f>IFERROR(VLOOKUP(A59,'Pedido '!B:O,12,),"  ")</f>
        <v xml:space="preserve">  </v>
      </c>
      <c r="E59" s="17" t="str">
        <f>IFERROR(VLOOKUP(A59,'Pedido '!B:O,14,),"  ")</f>
        <v xml:space="preserve">  </v>
      </c>
    </row>
    <row r="60" spans="1:5" x14ac:dyDescent="0.25">
      <c r="A60" s="1">
        <v>405656</v>
      </c>
      <c r="B60" t="s">
        <v>158</v>
      </c>
      <c r="C60" s="11" t="str">
        <f>IFERROR(VLOOKUP(A60,'Pedido '!B:O,11,),"  ")</f>
        <v xml:space="preserve">  </v>
      </c>
      <c r="D60" s="5" t="str">
        <f>IFERROR(VLOOKUP(A60,'Pedido '!B:O,12,),"  ")</f>
        <v xml:space="preserve">  </v>
      </c>
      <c r="E60" s="17" t="str">
        <f>IFERROR(VLOOKUP(A60,'Pedido '!B:O,14,),"  ")</f>
        <v xml:space="preserve">  </v>
      </c>
    </row>
    <row r="61" spans="1:5" x14ac:dyDescent="0.25">
      <c r="A61" s="1">
        <v>405568</v>
      </c>
      <c r="B61" t="s">
        <v>159</v>
      </c>
      <c r="C61" s="11" t="str">
        <f>IFERROR(VLOOKUP(A61,'Pedido '!B:O,11,),"  ")</f>
        <v xml:space="preserve">  </v>
      </c>
      <c r="D61" s="5" t="str">
        <f>IFERROR(VLOOKUP(A61,'Pedido '!B:O,12,),"  ")</f>
        <v xml:space="preserve">  </v>
      </c>
      <c r="E61" s="17" t="str">
        <f>IFERROR(VLOOKUP(A61,'Pedido '!B:O,14,),"  ")</f>
        <v xml:space="preserve">  </v>
      </c>
    </row>
    <row r="62" spans="1:5" x14ac:dyDescent="0.25">
      <c r="A62" s="1">
        <v>405569</v>
      </c>
      <c r="B62" t="s">
        <v>160</v>
      </c>
      <c r="C62" s="11" t="str">
        <f>IFERROR(VLOOKUP(A62,'Pedido '!B:O,11,),"  ")</f>
        <v xml:space="preserve">  </v>
      </c>
      <c r="D62" s="5" t="str">
        <f>IFERROR(VLOOKUP(A62,'Pedido '!B:O,12,),"  ")</f>
        <v xml:space="preserve">  </v>
      </c>
      <c r="E62" s="17" t="str">
        <f>IFERROR(VLOOKUP(A62,'Pedido '!B:O,14,),"  ")</f>
        <v xml:space="preserve">  </v>
      </c>
    </row>
    <row r="63" spans="1:5" x14ac:dyDescent="0.25">
      <c r="A63" s="1">
        <v>405570</v>
      </c>
      <c r="B63" t="s">
        <v>161</v>
      </c>
      <c r="C63" s="11" t="str">
        <f>IFERROR(VLOOKUP(A63,'Pedido '!B:O,11,),"  ")</f>
        <v xml:space="preserve">  </v>
      </c>
      <c r="D63" s="5" t="str">
        <f>IFERROR(VLOOKUP(A63,'Pedido '!B:O,12,),"  ")</f>
        <v xml:space="preserve">  </v>
      </c>
      <c r="E63" s="17" t="str">
        <f>IFERROR(VLOOKUP(A63,'Pedido '!B:O,14,),"  ")</f>
        <v xml:space="preserve">  </v>
      </c>
    </row>
    <row r="64" spans="1:5" x14ac:dyDescent="0.25">
      <c r="A64" s="1">
        <v>405571</v>
      </c>
      <c r="B64" t="s">
        <v>162</v>
      </c>
      <c r="C64" s="11" t="str">
        <f>IFERROR(VLOOKUP(A64,'Pedido '!B:O,11,),"  ")</f>
        <v xml:space="preserve">  </v>
      </c>
      <c r="D64" s="5" t="str">
        <f>IFERROR(VLOOKUP(A64,'Pedido '!B:O,12,),"  ")</f>
        <v xml:space="preserve">  </v>
      </c>
      <c r="E64" s="17" t="str">
        <f>IFERROR(VLOOKUP(A64,'Pedido '!B:O,14,),"  ")</f>
        <v xml:space="preserve">  </v>
      </c>
    </row>
    <row r="65" spans="1:5" x14ac:dyDescent="0.25">
      <c r="A65" s="1">
        <v>405572</v>
      </c>
      <c r="B65" t="s">
        <v>163</v>
      </c>
      <c r="C65" s="11" t="str">
        <f>IFERROR(VLOOKUP(A65,'Pedido '!B:O,11,),"  ")</f>
        <v xml:space="preserve">  </v>
      </c>
      <c r="D65" s="5" t="str">
        <f>IFERROR(VLOOKUP(A65,'Pedido '!B:O,12,),"  ")</f>
        <v xml:space="preserve">  </v>
      </c>
      <c r="E65" s="17" t="str">
        <f>IFERROR(VLOOKUP(A65,'Pedido '!B:O,14,),"  ")</f>
        <v xml:space="preserve">  </v>
      </c>
    </row>
    <row r="66" spans="1:5" x14ac:dyDescent="0.25">
      <c r="A66" s="1">
        <v>405573</v>
      </c>
      <c r="B66" t="s">
        <v>164</v>
      </c>
      <c r="C66" s="11" t="str">
        <f>IFERROR(VLOOKUP(A66,'Pedido '!B:O,11,),"  ")</f>
        <v xml:space="preserve">  </v>
      </c>
      <c r="D66" s="5" t="str">
        <f>IFERROR(VLOOKUP(A66,'Pedido '!B:O,12,),"  ")</f>
        <v xml:space="preserve">  </v>
      </c>
      <c r="E66" s="17" t="str">
        <f>IFERROR(VLOOKUP(A66,'Pedido '!B:O,14,),"  ")</f>
        <v xml:space="preserve">  </v>
      </c>
    </row>
    <row r="67" spans="1:5" x14ac:dyDescent="0.25">
      <c r="A67" s="1">
        <v>405575</v>
      </c>
      <c r="B67" t="s">
        <v>165</v>
      </c>
      <c r="C67" s="11" t="str">
        <f>IFERROR(VLOOKUP(A67,'Pedido '!B:O,11,),"  ")</f>
        <v xml:space="preserve">  </v>
      </c>
      <c r="D67" s="5" t="str">
        <f>IFERROR(VLOOKUP(A67,'Pedido '!B:O,12,),"  ")</f>
        <v xml:space="preserve">  </v>
      </c>
      <c r="E67" s="17" t="str">
        <f>IFERROR(VLOOKUP(A67,'Pedido '!B:O,14,),"  ")</f>
        <v xml:space="preserve">  </v>
      </c>
    </row>
    <row r="68" spans="1:5" x14ac:dyDescent="0.25">
      <c r="A68" s="1">
        <v>405576</v>
      </c>
      <c r="B68" t="s">
        <v>166</v>
      </c>
      <c r="C68" s="11" t="str">
        <f>IFERROR(VLOOKUP(A68,'Pedido '!B:O,11,),"  ")</f>
        <v xml:space="preserve">  </v>
      </c>
      <c r="D68" s="5" t="str">
        <f>IFERROR(VLOOKUP(A68,'Pedido '!B:O,12,),"  ")</f>
        <v xml:space="preserve">  </v>
      </c>
      <c r="E68" s="17" t="str">
        <f>IFERROR(VLOOKUP(A68,'Pedido '!B:O,14,),"  ")</f>
        <v xml:space="preserve">  </v>
      </c>
    </row>
    <row r="69" spans="1:5" x14ac:dyDescent="0.25">
      <c r="A69" s="1">
        <v>405577</v>
      </c>
      <c r="B69" t="s">
        <v>167</v>
      </c>
      <c r="C69" s="11" t="str">
        <f>IFERROR(VLOOKUP(A69,'Pedido '!B:O,11,),"  ")</f>
        <v xml:space="preserve">  </v>
      </c>
      <c r="D69" s="5" t="str">
        <f>IFERROR(VLOOKUP(A69,'Pedido '!B:O,12,),"  ")</f>
        <v xml:space="preserve">  </v>
      </c>
      <c r="E69" s="17" t="str">
        <f>IFERROR(VLOOKUP(A69,'Pedido '!B:O,14,),"  ")</f>
        <v xml:space="preserve">  </v>
      </c>
    </row>
    <row r="70" spans="1:5" x14ac:dyDescent="0.25">
      <c r="A70" s="1">
        <v>405598</v>
      </c>
      <c r="B70" t="s">
        <v>168</v>
      </c>
      <c r="C70" s="11" t="str">
        <f>IFERROR(VLOOKUP(A70,'Pedido '!B:O,11,),"  ")</f>
        <v xml:space="preserve">  </v>
      </c>
      <c r="D70" s="5" t="str">
        <f>IFERROR(VLOOKUP(A70,'Pedido '!B:O,12,),"  ")</f>
        <v xml:space="preserve">  </v>
      </c>
      <c r="E70" s="17" t="str">
        <f>IFERROR(VLOOKUP(A70,'Pedido '!B:O,14,),"  ")</f>
        <v xml:space="preserve">  </v>
      </c>
    </row>
    <row r="71" spans="1:5" x14ac:dyDescent="0.25">
      <c r="A71" s="1">
        <v>405578</v>
      </c>
      <c r="B71" t="s">
        <v>169</v>
      </c>
      <c r="C71" s="11" t="str">
        <f>IFERROR(VLOOKUP(A71,'Pedido '!B:O,11,),"  ")</f>
        <v xml:space="preserve">  </v>
      </c>
      <c r="D71" s="5" t="str">
        <f>IFERROR(VLOOKUP(A71,'Pedido '!B:O,12,),"  ")</f>
        <v xml:space="preserve">  </v>
      </c>
      <c r="E71" s="17" t="str">
        <f>IFERROR(VLOOKUP(A71,'Pedido '!B:O,14,),"  ")</f>
        <v xml:space="preserve">  </v>
      </c>
    </row>
    <row r="72" spans="1:5" x14ac:dyDescent="0.25">
      <c r="A72" s="1">
        <v>405579</v>
      </c>
      <c r="B72" t="s">
        <v>170</v>
      </c>
      <c r="C72" s="11" t="str">
        <f>IFERROR(VLOOKUP(A72,'Pedido '!B:O,11,),"  ")</f>
        <v xml:space="preserve">  </v>
      </c>
      <c r="D72" s="5" t="str">
        <f>IFERROR(VLOOKUP(A72,'Pedido '!B:O,12,),"  ")</f>
        <v xml:space="preserve">  </v>
      </c>
      <c r="E72" s="17" t="str">
        <f>IFERROR(VLOOKUP(A72,'Pedido '!B:O,14,),"  ")</f>
        <v xml:space="preserve">  </v>
      </c>
    </row>
    <row r="73" spans="1:5" x14ac:dyDescent="0.25">
      <c r="A73" s="1">
        <v>405580</v>
      </c>
      <c r="B73" t="s">
        <v>171</v>
      </c>
      <c r="C73" s="11" t="str">
        <f>IFERROR(VLOOKUP(A73,'Pedido '!B:O,11,),"  ")</f>
        <v xml:space="preserve">  </v>
      </c>
      <c r="D73" s="5" t="str">
        <f>IFERROR(VLOOKUP(A73,'Pedido '!B:O,12,),"  ")</f>
        <v xml:space="preserve">  </v>
      </c>
      <c r="E73" s="17" t="str">
        <f>IFERROR(VLOOKUP(A73,'Pedido '!B:O,14,),"  ")</f>
        <v xml:space="preserve">  </v>
      </c>
    </row>
    <row r="74" spans="1:5" x14ac:dyDescent="0.25">
      <c r="A74" s="1">
        <v>405581</v>
      </c>
      <c r="B74" t="s">
        <v>172</v>
      </c>
      <c r="C74" s="11" t="str">
        <f>IFERROR(VLOOKUP(A74,'Pedido '!B:O,11,),"  ")</f>
        <v xml:space="preserve">  </v>
      </c>
      <c r="D74" s="5" t="str">
        <f>IFERROR(VLOOKUP(A74,'Pedido '!B:O,12,),"  ")</f>
        <v xml:space="preserve">  </v>
      </c>
      <c r="E74" s="17" t="str">
        <f>IFERROR(VLOOKUP(A74,'Pedido '!B:O,14,),"  ")</f>
        <v xml:space="preserve">  </v>
      </c>
    </row>
    <row r="75" spans="1:5" x14ac:dyDescent="0.25">
      <c r="A75" s="1">
        <v>405597</v>
      </c>
      <c r="B75" t="s">
        <v>173</v>
      </c>
      <c r="C75" s="11" t="str">
        <f>IFERROR(VLOOKUP(A75,'Pedido '!B:O,11,),"  ")</f>
        <v xml:space="preserve">  </v>
      </c>
      <c r="D75" s="5" t="str">
        <f>IFERROR(VLOOKUP(A75,'Pedido '!B:O,12,),"  ")</f>
        <v xml:space="preserve">  </v>
      </c>
      <c r="E75" s="17" t="str">
        <f>IFERROR(VLOOKUP(A75,'Pedido '!B:O,14,),"  ")</f>
        <v xml:space="preserve">  </v>
      </c>
    </row>
    <row r="76" spans="1:5" x14ac:dyDescent="0.25">
      <c r="A76" s="1">
        <v>405582</v>
      </c>
      <c r="B76" t="s">
        <v>174</v>
      </c>
      <c r="C76" s="11" t="str">
        <f>IFERROR(VLOOKUP(A76,'Pedido '!B:O,11,),"  ")</f>
        <v xml:space="preserve">  </v>
      </c>
      <c r="D76" s="5" t="str">
        <f>IFERROR(VLOOKUP(A76,'Pedido '!B:O,12,),"  ")</f>
        <v xml:space="preserve">  </v>
      </c>
      <c r="E76" s="17" t="str">
        <f>IFERROR(VLOOKUP(A76,'Pedido '!B:O,14,),"  ")</f>
        <v xml:space="preserve">  </v>
      </c>
    </row>
    <row r="77" spans="1:5" x14ac:dyDescent="0.25">
      <c r="A77" s="1">
        <v>405653</v>
      </c>
      <c r="B77" t="s">
        <v>175</v>
      </c>
      <c r="C77" s="11" t="str">
        <f>IFERROR(VLOOKUP(A77,'Pedido '!B:O,11,),"  ")</f>
        <v xml:space="preserve">  </v>
      </c>
      <c r="D77" s="5" t="str">
        <f>IFERROR(VLOOKUP(A77,'Pedido '!B:O,12,),"  ")</f>
        <v xml:space="preserve">  </v>
      </c>
      <c r="E77" s="17" t="str">
        <f>IFERROR(VLOOKUP(A77,'Pedido '!B:O,14,),"  ")</f>
        <v xml:space="preserve">  </v>
      </c>
    </row>
    <row r="78" spans="1:5" x14ac:dyDescent="0.25">
      <c r="A78" s="1">
        <v>405583</v>
      </c>
      <c r="B78" t="s">
        <v>176</v>
      </c>
      <c r="C78" s="11" t="str">
        <f>IFERROR(VLOOKUP(A78,'Pedido '!B:O,11,),"  ")</f>
        <v xml:space="preserve">  </v>
      </c>
      <c r="D78" s="5" t="str">
        <f>IFERROR(VLOOKUP(A78,'Pedido '!B:O,12,),"  ")</f>
        <v xml:space="preserve">  </v>
      </c>
      <c r="E78" s="17" t="str">
        <f>IFERROR(VLOOKUP(A78,'Pedido '!B:O,14,),"  ")</f>
        <v xml:space="preserve">  </v>
      </c>
    </row>
    <row r="79" spans="1:5" x14ac:dyDescent="0.25">
      <c r="A79" s="1">
        <v>405585</v>
      </c>
      <c r="B79" t="s">
        <v>177</v>
      </c>
      <c r="C79" s="11" t="str">
        <f>IFERROR(VLOOKUP(A79,'Pedido '!B:O,11,),"  ")</f>
        <v xml:space="preserve">  </v>
      </c>
      <c r="D79" s="5" t="str">
        <f>IFERROR(VLOOKUP(A79,'Pedido '!B:O,12,),"  ")</f>
        <v xml:space="preserve">  </v>
      </c>
      <c r="E79" s="17" t="str">
        <f>IFERROR(VLOOKUP(A79,'Pedido '!B:O,14,),"  ")</f>
        <v xml:space="preserve">  </v>
      </c>
    </row>
    <row r="80" spans="1:5" x14ac:dyDescent="0.25">
      <c r="A80" s="1">
        <v>405586</v>
      </c>
      <c r="B80" t="s">
        <v>178</v>
      </c>
      <c r="C80" s="11" t="str">
        <f>IFERROR(VLOOKUP(A80,'Pedido '!B:O,11,),"  ")</f>
        <v xml:space="preserve">  </v>
      </c>
      <c r="D80" s="5" t="str">
        <f>IFERROR(VLOOKUP(A80,'Pedido '!B:O,12,),"  ")</f>
        <v xml:space="preserve">  </v>
      </c>
      <c r="E80" s="17" t="str">
        <f>IFERROR(VLOOKUP(A80,'Pedido '!B:O,14,),"  ")</f>
        <v xml:space="preserve">  </v>
      </c>
    </row>
    <row r="81" spans="1:5" x14ac:dyDescent="0.25">
      <c r="A81" s="1">
        <v>405587</v>
      </c>
      <c r="B81" t="s">
        <v>179</v>
      </c>
      <c r="C81" s="11" t="str">
        <f>IFERROR(VLOOKUP(A81,'Pedido '!B:O,11,),"  ")</f>
        <v xml:space="preserve">  </v>
      </c>
      <c r="D81" s="5" t="str">
        <f>IFERROR(VLOOKUP(A81,'Pedido '!B:O,12,),"  ")</f>
        <v xml:space="preserve">  </v>
      </c>
      <c r="E81" s="17" t="str">
        <f>IFERROR(VLOOKUP(A81,'Pedido '!B:O,14,),"  ")</f>
        <v xml:space="preserve">  </v>
      </c>
    </row>
    <row r="82" spans="1:5" x14ac:dyDescent="0.25">
      <c r="A82" s="1">
        <v>405612</v>
      </c>
      <c r="B82" t="s">
        <v>180</v>
      </c>
      <c r="C82" s="11" t="str">
        <f>IFERROR(VLOOKUP(A82,'Pedido '!B:O,11,),"  ")</f>
        <v xml:space="preserve">  </v>
      </c>
      <c r="D82" s="5" t="str">
        <f>IFERROR(VLOOKUP(A82,'Pedido '!B:O,12,),"  ")</f>
        <v xml:space="preserve">  </v>
      </c>
      <c r="E82" s="17" t="str">
        <f>IFERROR(VLOOKUP(A82,'Pedido '!B:O,14,),"  ")</f>
        <v xml:space="preserve">  </v>
      </c>
    </row>
    <row r="83" spans="1:5" x14ac:dyDescent="0.25">
      <c r="A83" s="1">
        <v>405588</v>
      </c>
      <c r="B83" t="s">
        <v>181</v>
      </c>
      <c r="C83" s="11" t="str">
        <f>IFERROR(VLOOKUP(A83,'Pedido '!B:O,11,),"  ")</f>
        <v xml:space="preserve">  </v>
      </c>
      <c r="D83" s="5" t="str">
        <f>IFERROR(VLOOKUP(A83,'Pedido '!B:O,12,),"  ")</f>
        <v xml:space="preserve">  </v>
      </c>
      <c r="E83" s="17" t="str">
        <f>IFERROR(VLOOKUP(A83,'Pedido '!B:O,14,),"  ")</f>
        <v xml:space="preserve">  </v>
      </c>
    </row>
    <row r="84" spans="1:5" x14ac:dyDescent="0.25">
      <c r="A84" s="1">
        <v>405589</v>
      </c>
      <c r="B84" t="s">
        <v>182</v>
      </c>
      <c r="C84" s="11" t="str">
        <f>IFERROR(VLOOKUP(A84,'Pedido '!B:O,11,),"  ")</f>
        <v xml:space="preserve">  </v>
      </c>
      <c r="D84" s="5" t="str">
        <f>IFERROR(VLOOKUP(A84,'Pedido '!B:O,12,),"  ")</f>
        <v xml:space="preserve">  </v>
      </c>
      <c r="E84" s="17" t="str">
        <f>IFERROR(VLOOKUP(A84,'Pedido '!B:O,14,),"  ")</f>
        <v xml:space="preserve">  </v>
      </c>
    </row>
    <row r="85" spans="1:5" x14ac:dyDescent="0.25">
      <c r="A85" s="1">
        <v>405590</v>
      </c>
      <c r="B85" t="s">
        <v>183</v>
      </c>
      <c r="C85" s="11" t="str">
        <f>IFERROR(VLOOKUP(A85,'Pedido '!B:O,11,),"  ")</f>
        <v xml:space="preserve">  </v>
      </c>
      <c r="D85" s="5" t="str">
        <f>IFERROR(VLOOKUP(A85,'Pedido '!B:O,12,),"  ")</f>
        <v xml:space="preserve">  </v>
      </c>
      <c r="E85" s="17" t="str">
        <f>IFERROR(VLOOKUP(A85,'Pedido '!B:O,14,),"  ")</f>
        <v xml:space="preserve">  </v>
      </c>
    </row>
    <row r="86" spans="1:5" x14ac:dyDescent="0.25">
      <c r="A86" s="1">
        <v>405591</v>
      </c>
      <c r="B86" t="s">
        <v>184</v>
      </c>
      <c r="C86" s="11" t="str">
        <f>IFERROR(VLOOKUP(A86,'Pedido '!B:O,11,),"  ")</f>
        <v xml:space="preserve">  </v>
      </c>
      <c r="D86" s="5" t="str">
        <f>IFERROR(VLOOKUP(A86,'Pedido '!B:O,12,),"  ")</f>
        <v xml:space="preserve">  </v>
      </c>
      <c r="E86" s="17" t="str">
        <f>IFERROR(VLOOKUP(A86,'Pedido '!B:O,14,),"  ")</f>
        <v xml:space="preserve">  </v>
      </c>
    </row>
    <row r="87" spans="1:5" x14ac:dyDescent="0.25">
      <c r="A87" s="1">
        <v>405592</v>
      </c>
      <c r="B87" t="s">
        <v>185</v>
      </c>
      <c r="C87" s="11" t="str">
        <f>IFERROR(VLOOKUP(A87,'Pedido '!B:O,11,),"  ")</f>
        <v xml:space="preserve">  </v>
      </c>
      <c r="D87" s="5" t="str">
        <f>IFERROR(VLOOKUP(A87,'Pedido '!B:O,12,),"  ")</f>
        <v xml:space="preserve">  </v>
      </c>
      <c r="E87" s="17" t="str">
        <f>IFERROR(VLOOKUP(A87,'Pedido '!B:O,14,),"  ")</f>
        <v xml:space="preserve">  </v>
      </c>
    </row>
    <row r="88" spans="1:5" x14ac:dyDescent="0.25">
      <c r="A88" s="1">
        <v>405738</v>
      </c>
      <c r="B88" t="s">
        <v>208</v>
      </c>
      <c r="C88" s="11" t="str">
        <f>IFERROR(VLOOKUP(A88,'Pedido '!B:O,11,),"  ")</f>
        <v xml:space="preserve">  </v>
      </c>
      <c r="D88" s="5" t="str">
        <f>IFERROR(VLOOKUP(A88,'Pedido '!B:O,12,),"  ")</f>
        <v xml:space="preserve">  </v>
      </c>
      <c r="E88" s="17" t="str">
        <f>IFERROR(VLOOKUP(A88,'Pedido '!B:O,14,),"  ")</f>
        <v xml:space="preserve">  </v>
      </c>
    </row>
    <row r="89" spans="1:5" x14ac:dyDescent="0.25">
      <c r="A89" s="1">
        <v>405737</v>
      </c>
      <c r="B89" t="s">
        <v>209</v>
      </c>
      <c r="C89" s="11" t="str">
        <f>IFERROR(VLOOKUP(A89,'Pedido '!B:O,11,),"  ")</f>
        <v xml:space="preserve">  </v>
      </c>
      <c r="D89" s="5" t="str">
        <f>IFERROR(VLOOKUP(A89,'Pedido '!B:O,12,),"  ")</f>
        <v xml:space="preserve">  </v>
      </c>
      <c r="E89" s="17" t="str">
        <f>IFERROR(VLOOKUP(A89,'Pedido '!B:O,14,),"  ")</f>
        <v xml:space="preserve">  </v>
      </c>
    </row>
    <row r="90" spans="1:5" x14ac:dyDescent="0.25">
      <c r="A90" s="1">
        <v>405731</v>
      </c>
      <c r="B90" t="s">
        <v>210</v>
      </c>
      <c r="C90" s="11" t="str">
        <f>IFERROR(VLOOKUP(A90,'Pedido '!B:O,11,),"  ")</f>
        <v xml:space="preserve">  </v>
      </c>
      <c r="D90" s="5" t="str">
        <f>IFERROR(VLOOKUP(A90,'Pedido '!B:O,12,),"  ")</f>
        <v xml:space="preserve">  </v>
      </c>
      <c r="E90" s="17" t="str">
        <f>IFERROR(VLOOKUP(A90,'Pedido '!B:O,14,),"  ")</f>
        <v xml:space="preserve">  </v>
      </c>
    </row>
    <row r="91" spans="1:5" x14ac:dyDescent="0.25">
      <c r="A91" s="1">
        <v>405711</v>
      </c>
      <c r="B91" t="s">
        <v>211</v>
      </c>
      <c r="C91" s="11" t="str">
        <f>IFERROR(VLOOKUP(A91,'Pedido '!B:O,11,),"  ")</f>
        <v xml:space="preserve">  </v>
      </c>
      <c r="D91" s="5" t="str">
        <f>IFERROR(VLOOKUP(A91,'Pedido '!B:O,12,),"  ")</f>
        <v xml:space="preserve">  </v>
      </c>
      <c r="E91" s="17" t="str">
        <f>IFERROR(VLOOKUP(A91,'Pedido '!B:O,14,),"  ")</f>
        <v xml:space="preserve">  </v>
      </c>
    </row>
    <row r="92" spans="1:5" x14ac:dyDescent="0.25">
      <c r="A92" s="1">
        <v>405732</v>
      </c>
      <c r="B92" t="s">
        <v>212</v>
      </c>
      <c r="C92" s="11" t="str">
        <f>IFERROR(VLOOKUP(A92,'Pedido '!B:O,11,),"  ")</f>
        <v xml:space="preserve">  </v>
      </c>
      <c r="D92" s="5" t="str">
        <f>IFERROR(VLOOKUP(A92,'Pedido '!B:O,12,),"  ")</f>
        <v xml:space="preserve">  </v>
      </c>
      <c r="E92" s="17" t="str">
        <f>IFERROR(VLOOKUP(A92,'Pedido '!B:O,14,),"  ")</f>
        <v xml:space="preserve">  </v>
      </c>
    </row>
    <row r="93" spans="1:5" x14ac:dyDescent="0.25">
      <c r="A93" s="1">
        <v>405712</v>
      </c>
      <c r="B93" t="s">
        <v>213</v>
      </c>
      <c r="C93" s="11" t="str">
        <f>IFERROR(VLOOKUP(A93,'Pedido '!B:O,11,),"  ")</f>
        <v xml:space="preserve">  </v>
      </c>
      <c r="D93" s="5" t="str">
        <f>IFERROR(VLOOKUP(A93,'Pedido '!B:O,12,),"  ")</f>
        <v xml:space="preserve">  </v>
      </c>
      <c r="E93" s="17" t="str">
        <f>IFERROR(VLOOKUP(A93,'Pedido '!B:O,14,),"  ")</f>
        <v xml:space="preserve">  </v>
      </c>
    </row>
    <row r="94" spans="1:5" x14ac:dyDescent="0.25">
      <c r="A94" s="1">
        <v>405713</v>
      </c>
      <c r="B94" t="s">
        <v>214</v>
      </c>
      <c r="C94" s="11" t="str">
        <f>IFERROR(VLOOKUP(A94,'Pedido '!B:O,11,),"  ")</f>
        <v xml:space="preserve">  </v>
      </c>
      <c r="D94" s="5" t="str">
        <f>IFERROR(VLOOKUP(A94,'Pedido '!B:O,12,),"  ")</f>
        <v xml:space="preserve">  </v>
      </c>
      <c r="E94" s="17" t="str">
        <f>IFERROR(VLOOKUP(A94,'Pedido '!B:O,14,),"  ")</f>
        <v xml:space="preserve">  </v>
      </c>
    </row>
    <row r="95" spans="1:5" x14ac:dyDescent="0.25">
      <c r="A95" s="1">
        <v>405733</v>
      </c>
      <c r="B95" t="s">
        <v>215</v>
      </c>
      <c r="C95" s="11" t="str">
        <f>IFERROR(VLOOKUP(A95,'Pedido '!B:O,11,),"  ")</f>
        <v xml:space="preserve">  </v>
      </c>
      <c r="D95" s="5" t="str">
        <f>IFERROR(VLOOKUP(A95,'Pedido '!B:O,12,),"  ")</f>
        <v xml:space="preserve">  </v>
      </c>
      <c r="E95" s="17" t="str">
        <f>IFERROR(VLOOKUP(A95,'Pedido '!B:O,14,),"  ")</f>
        <v xml:space="preserve">  </v>
      </c>
    </row>
    <row r="96" spans="1:5" x14ac:dyDescent="0.25">
      <c r="A96" s="1">
        <v>405714</v>
      </c>
      <c r="B96" t="s">
        <v>216</v>
      </c>
      <c r="C96" s="11" t="str">
        <f>IFERROR(VLOOKUP(A96,'Pedido '!B:O,11,),"  ")</f>
        <v xml:space="preserve">  </v>
      </c>
      <c r="D96" s="5" t="str">
        <f>IFERROR(VLOOKUP(A96,'Pedido '!B:O,12,),"  ")</f>
        <v xml:space="preserve">  </v>
      </c>
      <c r="E96" s="17" t="str">
        <f>IFERROR(VLOOKUP(A96,'Pedido '!B:O,14,),"  ")</f>
        <v xml:space="preserve">  </v>
      </c>
    </row>
    <row r="97" spans="1:5" x14ac:dyDescent="0.25">
      <c r="A97" s="1">
        <v>405715</v>
      </c>
      <c r="B97" t="s">
        <v>217</v>
      </c>
      <c r="C97" s="11" t="str">
        <f>IFERROR(VLOOKUP(A97,'Pedido '!B:O,11,),"  ")</f>
        <v xml:space="preserve">  </v>
      </c>
      <c r="D97" s="5" t="str">
        <f>IFERROR(VLOOKUP(A97,'Pedido '!B:O,12,),"  ")</f>
        <v xml:space="preserve">  </v>
      </c>
      <c r="E97" s="17" t="str">
        <f>IFERROR(VLOOKUP(A97,'Pedido '!B:O,14,),"  ")</f>
        <v xml:space="preserve">  </v>
      </c>
    </row>
    <row r="98" spans="1:5" x14ac:dyDescent="0.25">
      <c r="A98" s="1">
        <v>405734</v>
      </c>
      <c r="B98" t="s">
        <v>218</v>
      </c>
      <c r="C98" s="11" t="str">
        <f>IFERROR(VLOOKUP(A98,'Pedido '!B:O,11,),"  ")</f>
        <v xml:space="preserve">  </v>
      </c>
      <c r="D98" s="5" t="str">
        <f>IFERROR(VLOOKUP(A98,'Pedido '!B:O,12,),"  ")</f>
        <v xml:space="preserve">  </v>
      </c>
      <c r="E98" s="17" t="str">
        <f>IFERROR(VLOOKUP(A98,'Pedido '!B:O,14,),"  ")</f>
        <v xml:space="preserve">  </v>
      </c>
    </row>
    <row r="99" spans="1:5" x14ac:dyDescent="0.25">
      <c r="A99" s="1">
        <v>405719</v>
      </c>
      <c r="B99" t="s">
        <v>219</v>
      </c>
      <c r="C99" s="11" t="str">
        <f>IFERROR(VLOOKUP(A99,'Pedido '!B:O,11,),"  ")</f>
        <v xml:space="preserve">  </v>
      </c>
      <c r="D99" s="5" t="str">
        <f>IFERROR(VLOOKUP(A99,'Pedido '!B:O,12,),"  ")</f>
        <v xml:space="preserve">  </v>
      </c>
      <c r="E99" s="17" t="str">
        <f>IFERROR(VLOOKUP(A99,'Pedido '!B:O,14,),"  ")</f>
        <v xml:space="preserve">  </v>
      </c>
    </row>
    <row r="100" spans="1:5" x14ac:dyDescent="0.25">
      <c r="A100" s="1">
        <v>405723</v>
      </c>
      <c r="B100" t="s">
        <v>220</v>
      </c>
      <c r="C100" s="11" t="str">
        <f>IFERROR(VLOOKUP(A100,'Pedido '!B:O,11,),"  ")</f>
        <v xml:space="preserve">  </v>
      </c>
      <c r="D100" s="5" t="str">
        <f>IFERROR(VLOOKUP(A100,'Pedido '!B:O,12,),"  ")</f>
        <v xml:space="preserve">  </v>
      </c>
      <c r="E100" s="17" t="str">
        <f>IFERROR(VLOOKUP(A100,'Pedido '!B:O,14,),"  ")</f>
        <v xml:space="preserve">  </v>
      </c>
    </row>
    <row r="101" spans="1:5" x14ac:dyDescent="0.25">
      <c r="A101" s="1">
        <v>405728</v>
      </c>
      <c r="B101" t="s">
        <v>221</v>
      </c>
      <c r="C101" s="11" t="str">
        <f>IFERROR(VLOOKUP(A101,'Pedido '!B:O,11,),"  ")</f>
        <v xml:space="preserve">  </v>
      </c>
      <c r="D101" s="5" t="str">
        <f>IFERROR(VLOOKUP(A101,'Pedido '!B:O,12,),"  ")</f>
        <v xml:space="preserve">  </v>
      </c>
      <c r="E101" s="17" t="str">
        <f>IFERROR(VLOOKUP(A101,'Pedido '!B:O,14,),"  ")</f>
        <v xml:space="preserve">  </v>
      </c>
    </row>
    <row r="102" spans="1:5" x14ac:dyDescent="0.25">
      <c r="A102" s="1">
        <v>405729</v>
      </c>
      <c r="B102" t="s">
        <v>222</v>
      </c>
      <c r="C102" s="11" t="str">
        <f>IFERROR(VLOOKUP(A102,'Pedido '!B:O,11,),"  ")</f>
        <v xml:space="preserve">  </v>
      </c>
      <c r="D102" s="5" t="str">
        <f>IFERROR(VLOOKUP(A102,'Pedido '!B:O,12,),"  ")</f>
        <v xml:space="preserve">  </v>
      </c>
      <c r="E102" s="17" t="str">
        <f>IFERROR(VLOOKUP(A102,'Pedido '!B:O,14,),"  ")</f>
        <v xml:space="preserve">  </v>
      </c>
    </row>
    <row r="103" spans="1:5" x14ac:dyDescent="0.25">
      <c r="A103" s="1">
        <v>405730</v>
      </c>
      <c r="B103" t="s">
        <v>223</v>
      </c>
      <c r="C103" s="11" t="str">
        <f>IFERROR(VLOOKUP(A103,'Pedido '!B:O,11,),"  ")</f>
        <v xml:space="preserve">  </v>
      </c>
      <c r="D103" s="5" t="str">
        <f>IFERROR(VLOOKUP(A103,'Pedido '!B:O,12,),"  ")</f>
        <v xml:space="preserve">  </v>
      </c>
      <c r="E103" s="17" t="str">
        <f>IFERROR(VLOOKUP(A103,'Pedido '!B:O,14,),"  ")</f>
        <v xml:space="preserve">  </v>
      </c>
    </row>
    <row r="104" spans="1:5" x14ac:dyDescent="0.25">
      <c r="A104" s="1">
        <v>405716</v>
      </c>
      <c r="B104" t="s">
        <v>224</v>
      </c>
      <c r="C104" s="11" t="str">
        <f>IFERROR(VLOOKUP(A104,'Pedido '!B:O,11,),"  ")</f>
        <v xml:space="preserve">  </v>
      </c>
      <c r="D104" s="5" t="str">
        <f>IFERROR(VLOOKUP(A104,'Pedido '!B:O,12,),"  ")</f>
        <v xml:space="preserve">  </v>
      </c>
      <c r="E104" s="17" t="str">
        <f>IFERROR(VLOOKUP(A104,'Pedido '!B:O,14,),"  ")</f>
        <v xml:space="preserve">  </v>
      </c>
    </row>
    <row r="105" spans="1:5" x14ac:dyDescent="0.25">
      <c r="A105" s="1">
        <v>405735</v>
      </c>
      <c r="B105" t="s">
        <v>225</v>
      </c>
      <c r="C105" s="11" t="str">
        <f>IFERROR(VLOOKUP(A105,'Pedido '!B:O,11,),"  ")</f>
        <v xml:space="preserve">  </v>
      </c>
      <c r="D105" s="5" t="str">
        <f>IFERROR(VLOOKUP(A105,'Pedido '!B:O,12,),"  ")</f>
        <v xml:space="preserve">  </v>
      </c>
      <c r="E105" s="17" t="str">
        <f>IFERROR(VLOOKUP(A105,'Pedido '!B:O,14,),"  ")</f>
        <v xml:space="preserve">  </v>
      </c>
    </row>
    <row r="106" spans="1:5" x14ac:dyDescent="0.25">
      <c r="A106" s="1">
        <v>405717</v>
      </c>
      <c r="B106" t="s">
        <v>226</v>
      </c>
      <c r="C106" s="11" t="str">
        <f>IFERROR(VLOOKUP(A106,'Pedido '!B:O,11,),"  ")</f>
        <v xml:space="preserve">  </v>
      </c>
      <c r="D106" s="5" t="str">
        <f>IFERROR(VLOOKUP(A106,'Pedido '!B:O,12,),"  ")</f>
        <v xml:space="preserve">  </v>
      </c>
      <c r="E106" s="17" t="str">
        <f>IFERROR(VLOOKUP(A106,'Pedido '!B:O,14,),"  ")</f>
        <v xml:space="preserve">  </v>
      </c>
    </row>
    <row r="107" spans="1:5" x14ac:dyDescent="0.25">
      <c r="A107" s="1">
        <v>405718</v>
      </c>
      <c r="B107" t="s">
        <v>227</v>
      </c>
      <c r="C107" s="11" t="str">
        <f>IFERROR(VLOOKUP(A107,'Pedido '!B:O,11,),"  ")</f>
        <v xml:space="preserve">  </v>
      </c>
      <c r="D107" s="5" t="str">
        <f>IFERROR(VLOOKUP(A107,'Pedido '!B:O,12,),"  ")</f>
        <v xml:space="preserve">  </v>
      </c>
      <c r="E107" s="17" t="str">
        <f>IFERROR(VLOOKUP(A107,'Pedido '!B:O,14,),"  ")</f>
        <v xml:space="preserve">  </v>
      </c>
    </row>
    <row r="108" spans="1:5" x14ac:dyDescent="0.25">
      <c r="A108" s="1">
        <v>405720</v>
      </c>
      <c r="B108" t="s">
        <v>228</v>
      </c>
      <c r="C108" s="11" t="str">
        <f>IFERROR(VLOOKUP(A108,'Pedido '!B:O,11,),"  ")</f>
        <v xml:space="preserve">  </v>
      </c>
      <c r="D108" s="5" t="str">
        <f>IFERROR(VLOOKUP(A108,'Pedido '!B:O,12,),"  ")</f>
        <v xml:space="preserve">  </v>
      </c>
      <c r="E108" s="17" t="str">
        <f>IFERROR(VLOOKUP(A108,'Pedido '!B:O,14,),"  ")</f>
        <v xml:space="preserve">  </v>
      </c>
    </row>
    <row r="109" spans="1:5" x14ac:dyDescent="0.25">
      <c r="A109" s="1">
        <v>405721</v>
      </c>
      <c r="B109" t="s">
        <v>229</v>
      </c>
      <c r="C109" s="11" t="str">
        <f>IFERROR(VLOOKUP(A109,'Pedido '!B:O,11,),"  ")</f>
        <v xml:space="preserve">  </v>
      </c>
      <c r="D109" s="5" t="str">
        <f>IFERROR(VLOOKUP(A109,'Pedido '!B:O,12,),"  ")</f>
        <v xml:space="preserve">  </v>
      </c>
      <c r="E109" s="17" t="str">
        <f>IFERROR(VLOOKUP(A109,'Pedido '!B:O,14,),"  ")</f>
        <v xml:space="preserve">  </v>
      </c>
    </row>
    <row r="110" spans="1:5" x14ac:dyDescent="0.25">
      <c r="A110" s="1">
        <v>405722</v>
      </c>
      <c r="B110" t="s">
        <v>230</v>
      </c>
      <c r="C110" s="11" t="str">
        <f>IFERROR(VLOOKUP(A110,'Pedido '!B:O,11,),"  ")</f>
        <v xml:space="preserve">  </v>
      </c>
      <c r="D110" s="5" t="str">
        <f>IFERROR(VLOOKUP(A110,'Pedido '!B:O,12,),"  ")</f>
        <v xml:space="preserve">  </v>
      </c>
      <c r="E110" s="17" t="str">
        <f>IFERROR(VLOOKUP(A110,'Pedido '!B:O,14,),"  ")</f>
        <v xml:space="preserve">  </v>
      </c>
    </row>
    <row r="111" spans="1:5" x14ac:dyDescent="0.25">
      <c r="A111" s="1">
        <v>405726</v>
      </c>
      <c r="B111" t="s">
        <v>231</v>
      </c>
      <c r="C111" s="11" t="str">
        <f>IFERROR(VLOOKUP(A111,'Pedido '!B:O,11,),"  ")</f>
        <v xml:space="preserve">  </v>
      </c>
      <c r="D111" s="5" t="str">
        <f>IFERROR(VLOOKUP(A111,'Pedido '!B:O,12,),"  ")</f>
        <v xml:space="preserve">  </v>
      </c>
      <c r="E111" s="17" t="str">
        <f>IFERROR(VLOOKUP(A111,'Pedido '!B:O,14,),"  ")</f>
        <v xml:space="preserve">  </v>
      </c>
    </row>
    <row r="112" spans="1:5" x14ac:dyDescent="0.25">
      <c r="A112" s="1">
        <v>405724</v>
      </c>
      <c r="B112" t="s">
        <v>232</v>
      </c>
      <c r="C112" s="11" t="str">
        <f>IFERROR(VLOOKUP(A112,'Pedido '!B:O,11,),"  ")</f>
        <v xml:space="preserve">  </v>
      </c>
      <c r="D112" s="5" t="str">
        <f>IFERROR(VLOOKUP(A112,'Pedido '!B:O,12,),"  ")</f>
        <v xml:space="preserve">  </v>
      </c>
      <c r="E112" s="17" t="str">
        <f>IFERROR(VLOOKUP(A112,'Pedido '!B:O,14,),"  ")</f>
        <v xml:space="preserve">  </v>
      </c>
    </row>
    <row r="113" spans="1:5" x14ac:dyDescent="0.25">
      <c r="A113" s="1">
        <v>405725</v>
      </c>
      <c r="B113" t="s">
        <v>233</v>
      </c>
      <c r="C113" s="11" t="str">
        <f>IFERROR(VLOOKUP(A113,'Pedido '!B:O,11,),"  ")</f>
        <v xml:space="preserve">  </v>
      </c>
      <c r="D113" s="5" t="str">
        <f>IFERROR(VLOOKUP(A113,'Pedido '!B:O,12,),"  ")</f>
        <v xml:space="preserve">  </v>
      </c>
      <c r="E113" s="17" t="str">
        <f>IFERROR(VLOOKUP(A113,'Pedido '!B:O,14,),"  ")</f>
        <v xml:space="preserve">  </v>
      </c>
    </row>
    <row r="114" spans="1:5" x14ac:dyDescent="0.25">
      <c r="A114" s="1">
        <v>405727</v>
      </c>
      <c r="B114" t="s">
        <v>234</v>
      </c>
      <c r="C114" s="11" t="str">
        <f>IFERROR(VLOOKUP(A114,'Pedido '!B:O,11,),"  ")</f>
        <v xml:space="preserve">  </v>
      </c>
      <c r="D114" s="5" t="str">
        <f>IFERROR(VLOOKUP(A114,'Pedido '!B:O,12,),"  ")</f>
        <v xml:space="preserve">  </v>
      </c>
      <c r="E114" s="17" t="str">
        <f>IFERROR(VLOOKUP(A114,'Pedido '!B:O,14,),"  ")</f>
        <v xml:space="preserve">  </v>
      </c>
    </row>
    <row r="115" spans="1:5" x14ac:dyDescent="0.25">
      <c r="A115" s="1">
        <v>405736</v>
      </c>
      <c r="B115" t="s">
        <v>235</v>
      </c>
      <c r="C115" s="11" t="str">
        <f>IFERROR(VLOOKUP(A115,'Pedido '!B:O,11,),"  ")</f>
        <v xml:space="preserve">  </v>
      </c>
      <c r="D115" s="5" t="str">
        <f>IFERROR(VLOOKUP(A115,'Pedido '!B:O,12,),"  ")</f>
        <v xml:space="preserve">  </v>
      </c>
      <c r="E115" s="17" t="str">
        <f>IFERROR(VLOOKUP(A115,'Pedido '!B:O,14,),"  ")</f>
        <v xml:space="preserve">  </v>
      </c>
    </row>
    <row r="116" spans="1:5" x14ac:dyDescent="0.25">
      <c r="A116" s="1">
        <v>405739</v>
      </c>
      <c r="B116" t="s">
        <v>236</v>
      </c>
      <c r="C116" s="11" t="str">
        <f>IFERROR(VLOOKUP(A116,'Pedido '!B:O,11,),"  ")</f>
        <v xml:space="preserve">  </v>
      </c>
      <c r="D116" s="5" t="str">
        <f>IFERROR(VLOOKUP(A116,'Pedido '!B:O,12,),"  ")</f>
        <v xml:space="preserve">  </v>
      </c>
      <c r="E116" s="17" t="str">
        <f>IFERROR(VLOOKUP(A116,'Pedido '!B:O,14,),"  ")</f>
        <v xml:space="preserve">  </v>
      </c>
    </row>
    <row r="117" spans="1:5" x14ac:dyDescent="0.25">
      <c r="A117" s="1">
        <v>405745</v>
      </c>
      <c r="B117" t="s">
        <v>237</v>
      </c>
      <c r="C117" s="11" t="str">
        <f>IFERROR(VLOOKUP(A117,'Pedido '!B:O,11,),"  ")</f>
        <v xml:space="preserve">  </v>
      </c>
      <c r="D117" s="5" t="str">
        <f>IFERROR(VLOOKUP(A117,'Pedido '!B:O,12,),"  ")</f>
        <v xml:space="preserve">  </v>
      </c>
      <c r="E117" s="17" t="str">
        <f>IFERROR(VLOOKUP(A117,'Pedido '!B:O,14,),"  ")</f>
        <v xml:space="preserve">  </v>
      </c>
    </row>
    <row r="118" spans="1:5" x14ac:dyDescent="0.25">
      <c r="A118" s="26" t="s">
        <v>244</v>
      </c>
      <c r="B118" s="26"/>
      <c r="C118" s="26"/>
      <c r="D118" s="5">
        <f>SUM(D2:D117)</f>
        <v>0</v>
      </c>
      <c r="E118" s="17">
        <f>SUM(E2:E117)</f>
        <v>0</v>
      </c>
    </row>
  </sheetData>
  <autoFilter ref="A1:E117" xr:uid="{629CD278-F365-4830-9470-C1CDC293C3AB}"/>
  <mergeCells count="1">
    <mergeCell ref="A118:C118"/>
  </mergeCells>
  <conditionalFormatting sqref="C1 E1">
    <cfRule type="cellIs" dxfId="2" priority="3" operator="equal">
      <formula>#REF!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5780-C578-4651-9BDD-DE8226E48889}">
  <dimension ref="A1:E27"/>
  <sheetViews>
    <sheetView workbookViewId="0">
      <selection activeCell="F8" sqref="F8"/>
    </sheetView>
  </sheetViews>
  <sheetFormatPr defaultRowHeight="15" x14ac:dyDescent="0.25"/>
  <cols>
    <col min="1" max="1" width="14.7109375" style="5" bestFit="1" customWidth="1"/>
    <col min="2" max="2" width="37.7109375" style="19" bestFit="1" customWidth="1"/>
    <col min="3" max="3" width="18.28515625" style="11" bestFit="1" customWidth="1"/>
    <col min="4" max="4" width="11.85546875" style="5" bestFit="1" customWidth="1"/>
    <col min="5" max="5" width="10.7109375" style="17" bestFit="1" customWidth="1"/>
  </cols>
  <sheetData>
    <row r="1" spans="1:5" x14ac:dyDescent="0.25">
      <c r="A1" s="3" t="s">
        <v>238</v>
      </c>
      <c r="B1" s="3" t="s">
        <v>239</v>
      </c>
      <c r="C1" s="14" t="s">
        <v>241</v>
      </c>
      <c r="D1" s="3" t="s">
        <v>243</v>
      </c>
      <c r="E1" s="15" t="s">
        <v>242</v>
      </c>
    </row>
    <row r="2" spans="1:5" x14ac:dyDescent="0.25">
      <c r="A2" s="5">
        <v>405686</v>
      </c>
      <c r="B2" s="19" t="s">
        <v>247</v>
      </c>
      <c r="C2" s="11">
        <f>IFERROR(VLOOKUP(A2,'Pedido '!B:O,11,),"  ")</f>
        <v>0</v>
      </c>
      <c r="D2" s="5">
        <f>IFERROR(VLOOKUP(A2,'Pedido '!B:O,12,),"  ")</f>
        <v>102</v>
      </c>
      <c r="E2" s="17">
        <f>IFERROR(VLOOKUP(A2,'Pedido '!B:O,14,),"  ")</f>
        <v>5007.18</v>
      </c>
    </row>
    <row r="3" spans="1:5" x14ac:dyDescent="0.25">
      <c r="A3" s="5">
        <v>405622</v>
      </c>
      <c r="B3" s="19" t="s">
        <v>248</v>
      </c>
      <c r="C3" s="11">
        <f>IFERROR(VLOOKUP(A3,'Pedido '!B:O,11,),"  ")</f>
        <v>0</v>
      </c>
      <c r="D3" s="5">
        <f>IFERROR(VLOOKUP(A3,'Pedido '!B:O,12,),"  ")</f>
        <v>102</v>
      </c>
      <c r="E3" s="17">
        <f>IFERROR(VLOOKUP(A3,'Pedido '!B:O,14,),"  ")</f>
        <v>4253.3999999999996</v>
      </c>
    </row>
    <row r="4" spans="1:5" x14ac:dyDescent="0.25">
      <c r="A4" s="5">
        <v>405629</v>
      </c>
      <c r="B4" s="19" t="s">
        <v>249</v>
      </c>
      <c r="C4" s="11" t="str">
        <f>IFERROR(VLOOKUP(A4,'Pedido '!B:O,11,),"  ")</f>
        <v xml:space="preserve">  </v>
      </c>
      <c r="D4" s="5" t="str">
        <f>IFERROR(VLOOKUP(A4,'Pedido '!B:O,12,),"  ")</f>
        <v xml:space="preserve">  </v>
      </c>
      <c r="E4" s="17" t="str">
        <f>IFERROR(VLOOKUP(A4,'Pedido '!B:O,14,),"  ")</f>
        <v xml:space="preserve">  </v>
      </c>
    </row>
    <row r="5" spans="1:5" x14ac:dyDescent="0.25">
      <c r="A5" s="5">
        <v>405631</v>
      </c>
      <c r="B5" s="19" t="s">
        <v>250</v>
      </c>
      <c r="C5" s="11" t="str">
        <f>IFERROR(VLOOKUP(A5,'Pedido '!B:O,11,),"  ")</f>
        <v xml:space="preserve">  </v>
      </c>
      <c r="D5" s="5" t="str">
        <f>IFERROR(VLOOKUP(A5,'Pedido '!B:O,12,),"  ")</f>
        <v xml:space="preserve">  </v>
      </c>
      <c r="E5" s="17" t="str">
        <f>IFERROR(VLOOKUP(A5,'Pedido '!B:O,14,),"  ")</f>
        <v xml:space="preserve">  </v>
      </c>
    </row>
    <row r="6" spans="1:5" x14ac:dyDescent="0.25">
      <c r="A6" s="5">
        <v>405640</v>
      </c>
      <c r="B6" s="19" t="s">
        <v>251</v>
      </c>
      <c r="C6" s="11" t="str">
        <f>IFERROR(VLOOKUP(A6,'Pedido '!B:O,11,),"  ")</f>
        <v xml:space="preserve">  </v>
      </c>
      <c r="D6" s="5" t="str">
        <f>IFERROR(VLOOKUP(A6,'Pedido '!B:O,12,),"  ")</f>
        <v xml:space="preserve">  </v>
      </c>
      <c r="E6" s="17" t="str">
        <f>IFERROR(VLOOKUP(A6,'Pedido '!B:O,14,),"  ")</f>
        <v xml:space="preserve">  </v>
      </c>
    </row>
    <row r="7" spans="1:5" x14ac:dyDescent="0.25">
      <c r="A7" s="5">
        <v>405644</v>
      </c>
      <c r="B7" s="19" t="s">
        <v>252</v>
      </c>
      <c r="C7" s="11" t="str">
        <f>IFERROR(VLOOKUP(A7,'Pedido '!B:O,11,),"  ")</f>
        <v xml:space="preserve">  </v>
      </c>
      <c r="D7" s="5" t="str">
        <f>IFERROR(VLOOKUP(A7,'Pedido '!B:O,12,),"  ")</f>
        <v xml:space="preserve">  </v>
      </c>
      <c r="E7" s="17" t="str">
        <f>IFERROR(VLOOKUP(A7,'Pedido '!B:O,14,),"  ")</f>
        <v xml:space="preserve">  </v>
      </c>
    </row>
    <row r="8" spans="1:5" x14ac:dyDescent="0.25">
      <c r="A8" s="5">
        <v>405648</v>
      </c>
      <c r="B8" s="19" t="s">
        <v>253</v>
      </c>
      <c r="C8" s="11" t="str">
        <f>IFERROR(VLOOKUP(A8,'Pedido '!B:O,11,),"  ")</f>
        <v xml:space="preserve">  </v>
      </c>
      <c r="D8" s="5" t="str">
        <f>IFERROR(VLOOKUP(A8,'Pedido '!B:O,12,),"  ")</f>
        <v xml:space="preserve">  </v>
      </c>
      <c r="E8" s="17" t="str">
        <f>IFERROR(VLOOKUP(A8,'Pedido '!B:O,14,),"  ")</f>
        <v xml:space="preserve">  </v>
      </c>
    </row>
    <row r="9" spans="1:5" x14ac:dyDescent="0.25">
      <c r="A9" s="5">
        <v>405763</v>
      </c>
      <c r="B9" s="19" t="s">
        <v>254</v>
      </c>
      <c r="C9" s="11" t="str">
        <f>IFERROR(VLOOKUP(A9,'Pedido '!B:O,11,),"  ")</f>
        <v xml:space="preserve">  </v>
      </c>
      <c r="D9" s="5" t="str">
        <f>IFERROR(VLOOKUP(A9,'Pedido '!B:O,12,),"  ")</f>
        <v xml:space="preserve">  </v>
      </c>
      <c r="E9" s="17" t="str">
        <f>IFERROR(VLOOKUP(A9,'Pedido '!B:O,14,),"  ")</f>
        <v xml:space="preserve">  </v>
      </c>
    </row>
    <row r="10" spans="1:5" x14ac:dyDescent="0.25">
      <c r="A10" s="5">
        <v>405658</v>
      </c>
      <c r="B10" s="19" t="s">
        <v>255</v>
      </c>
      <c r="C10" s="11" t="str">
        <f>IFERROR(VLOOKUP(A10,'Pedido '!B:O,11,),"  ")</f>
        <v xml:space="preserve">  </v>
      </c>
      <c r="D10" s="5" t="str">
        <f>IFERROR(VLOOKUP(A10,'Pedido '!B:O,12,),"  ")</f>
        <v xml:space="preserve">  </v>
      </c>
      <c r="E10" s="17" t="str">
        <f>IFERROR(VLOOKUP(A10,'Pedido '!B:O,14,),"  ")</f>
        <v xml:space="preserve">  </v>
      </c>
    </row>
    <row r="11" spans="1:5" x14ac:dyDescent="0.25">
      <c r="A11" s="5">
        <v>405665</v>
      </c>
      <c r="B11" s="19" t="s">
        <v>256</v>
      </c>
      <c r="C11" s="11" t="str">
        <f>IFERROR(VLOOKUP(A11,'Pedido '!B:O,11,),"  ")</f>
        <v xml:space="preserve">  </v>
      </c>
      <c r="D11" s="5" t="str">
        <f>IFERROR(VLOOKUP(A11,'Pedido '!B:O,12,),"  ")</f>
        <v xml:space="preserve">  </v>
      </c>
      <c r="E11" s="17" t="str">
        <f>IFERROR(VLOOKUP(A11,'Pedido '!B:O,14,),"  ")</f>
        <v xml:space="preserve">  </v>
      </c>
    </row>
    <row r="12" spans="1:5" x14ac:dyDescent="0.25">
      <c r="A12" s="5">
        <v>405671</v>
      </c>
      <c r="B12" s="19" t="s">
        <v>257</v>
      </c>
      <c r="C12" s="11" t="str">
        <f>IFERROR(VLOOKUP(A12,'Pedido '!B:O,11,),"  ")</f>
        <v xml:space="preserve">  </v>
      </c>
      <c r="D12" s="5" t="str">
        <f>IFERROR(VLOOKUP(A12,'Pedido '!B:O,12,),"  ")</f>
        <v xml:space="preserve">  </v>
      </c>
      <c r="E12" s="17" t="str">
        <f>IFERROR(VLOOKUP(A12,'Pedido '!B:O,14,),"  ")</f>
        <v xml:space="preserve">  </v>
      </c>
    </row>
    <row r="13" spans="1:5" x14ac:dyDescent="0.25">
      <c r="A13" s="5">
        <v>405673</v>
      </c>
      <c r="B13" s="19" t="s">
        <v>258</v>
      </c>
      <c r="C13" s="11" t="str">
        <f>IFERROR(VLOOKUP(A13,'Pedido '!B:O,11,),"  ")</f>
        <v xml:space="preserve">  </v>
      </c>
      <c r="D13" s="5" t="str">
        <f>IFERROR(VLOOKUP(A13,'Pedido '!B:O,12,),"  ")</f>
        <v xml:space="preserve">  </v>
      </c>
      <c r="E13" s="17" t="str">
        <f>IFERROR(VLOOKUP(A13,'Pedido '!B:O,14,),"  ")</f>
        <v xml:space="preserve">  </v>
      </c>
    </row>
    <row r="14" spans="1:5" x14ac:dyDescent="0.25">
      <c r="A14" s="5">
        <v>405674</v>
      </c>
      <c r="B14" s="19" t="s">
        <v>259</v>
      </c>
      <c r="C14" s="11" t="str">
        <f>IFERROR(VLOOKUP(A14,'Pedido '!B:O,11,),"  ")</f>
        <v xml:space="preserve">  </v>
      </c>
      <c r="D14" s="5" t="str">
        <f>IFERROR(VLOOKUP(A14,'Pedido '!B:O,12,),"  ")</f>
        <v xml:space="preserve">  </v>
      </c>
      <c r="E14" s="17" t="str">
        <f>IFERROR(VLOOKUP(A14,'Pedido '!B:O,14,),"  ")</f>
        <v xml:space="preserve">  </v>
      </c>
    </row>
    <row r="15" spans="1:5" x14ac:dyDescent="0.25">
      <c r="A15" s="5">
        <v>405676</v>
      </c>
      <c r="B15" s="19" t="s">
        <v>260</v>
      </c>
      <c r="C15" s="11" t="str">
        <f>IFERROR(VLOOKUP(A15,'Pedido '!B:O,11,),"  ")</f>
        <v xml:space="preserve">  </v>
      </c>
      <c r="D15" s="5" t="str">
        <f>IFERROR(VLOOKUP(A15,'Pedido '!B:O,12,),"  ")</f>
        <v xml:space="preserve">  </v>
      </c>
      <c r="E15" s="17" t="str">
        <f>IFERROR(VLOOKUP(A15,'Pedido '!B:O,14,),"  ")</f>
        <v xml:space="preserve">  </v>
      </c>
    </row>
    <row r="16" spans="1:5" x14ac:dyDescent="0.25">
      <c r="A16" s="5">
        <v>405461</v>
      </c>
      <c r="B16" s="19" t="s">
        <v>261</v>
      </c>
      <c r="C16" s="11" t="str">
        <f>IFERROR(VLOOKUP(A16,'Pedido '!B:O,11,),"  ")</f>
        <v xml:space="preserve">  </v>
      </c>
      <c r="D16" s="5" t="str">
        <f>IFERROR(VLOOKUP(A16,'Pedido '!B:O,12,),"  ")</f>
        <v xml:space="preserve">  </v>
      </c>
      <c r="E16" s="17" t="str">
        <f>IFERROR(VLOOKUP(A16,'Pedido '!B:O,14,),"  ")</f>
        <v xml:space="preserve">  </v>
      </c>
    </row>
    <row r="17" spans="1:5" x14ac:dyDescent="0.25">
      <c r="A17" s="5">
        <v>405705</v>
      </c>
      <c r="B17" s="19" t="s">
        <v>262</v>
      </c>
      <c r="C17" s="11" t="str">
        <f>IFERROR(VLOOKUP(A17,'Pedido '!B:O,11,),"  ")</f>
        <v xml:space="preserve">  </v>
      </c>
      <c r="D17" s="5" t="str">
        <f>IFERROR(VLOOKUP(A17,'Pedido '!B:O,12,),"  ")</f>
        <v xml:space="preserve">  </v>
      </c>
      <c r="E17" s="17" t="str">
        <f>IFERROR(VLOOKUP(A17,'Pedido '!B:O,14,),"  ")</f>
        <v xml:space="preserve">  </v>
      </c>
    </row>
    <row r="18" spans="1:5" x14ac:dyDescent="0.25">
      <c r="A18" s="5">
        <v>405750</v>
      </c>
      <c r="B18" s="19" t="s">
        <v>263</v>
      </c>
      <c r="C18" s="11" t="str">
        <f>IFERROR(VLOOKUP(A18,'Pedido '!B:O,11,),"  ")</f>
        <v xml:space="preserve">  </v>
      </c>
      <c r="D18" s="5" t="str">
        <f>IFERROR(VLOOKUP(A18,'Pedido '!B:O,12,),"  ")</f>
        <v xml:space="preserve">  </v>
      </c>
      <c r="E18" s="17" t="str">
        <f>IFERROR(VLOOKUP(A18,'Pedido '!B:O,14,),"  ")</f>
        <v xml:space="preserve">  </v>
      </c>
    </row>
    <row r="19" spans="1:5" x14ac:dyDescent="0.25">
      <c r="A19" s="5">
        <v>405751</v>
      </c>
      <c r="B19" s="19" t="s">
        <v>264</v>
      </c>
      <c r="C19" s="11" t="str">
        <f>IFERROR(VLOOKUP(A19,'Pedido '!B:O,11,),"  ")</f>
        <v xml:space="preserve">  </v>
      </c>
      <c r="D19" s="5" t="str">
        <f>IFERROR(VLOOKUP(A19,'Pedido '!B:O,12,),"  ")</f>
        <v xml:space="preserve">  </v>
      </c>
      <c r="E19" s="17" t="str">
        <f>IFERROR(VLOOKUP(A19,'Pedido '!B:O,14,),"  ")</f>
        <v xml:space="preserve">  </v>
      </c>
    </row>
    <row r="20" spans="1:5" x14ac:dyDescent="0.25">
      <c r="A20" s="5">
        <v>405753</v>
      </c>
      <c r="B20" s="19" t="s">
        <v>265</v>
      </c>
      <c r="C20" s="11" t="str">
        <f>IFERROR(VLOOKUP(A20,'Pedido '!B:O,11,),"  ")</f>
        <v xml:space="preserve">  </v>
      </c>
      <c r="D20" s="5" t="str">
        <f>IFERROR(VLOOKUP(A20,'Pedido '!B:O,12,),"  ")</f>
        <v xml:space="preserve">  </v>
      </c>
      <c r="E20" s="17" t="str">
        <f>IFERROR(VLOOKUP(A20,'Pedido '!B:O,14,),"  ")</f>
        <v xml:space="preserve">  </v>
      </c>
    </row>
    <row r="21" spans="1:5" x14ac:dyDescent="0.25">
      <c r="A21" s="5">
        <v>405752</v>
      </c>
      <c r="B21" s="19" t="s">
        <v>266</v>
      </c>
      <c r="C21" s="11" t="str">
        <f>IFERROR(VLOOKUP(A21,'Pedido '!B:O,11,),"  ")</f>
        <v xml:space="preserve">  </v>
      </c>
      <c r="D21" s="5" t="str">
        <f>IFERROR(VLOOKUP(A21,'Pedido '!B:O,12,),"  ")</f>
        <v xml:space="preserve">  </v>
      </c>
      <c r="E21" s="17" t="str">
        <f>IFERROR(VLOOKUP(A21,'Pedido '!B:O,14,),"  ")</f>
        <v xml:space="preserve">  </v>
      </c>
    </row>
    <row r="22" spans="1:5" x14ac:dyDescent="0.25">
      <c r="A22" s="5">
        <v>405495</v>
      </c>
      <c r="B22" s="19" t="s">
        <v>267</v>
      </c>
      <c r="C22" s="11" t="str">
        <f>IFERROR(VLOOKUP(A22,'Pedido '!B:O,11,),"  ")</f>
        <v xml:space="preserve">  </v>
      </c>
      <c r="D22" s="5" t="str">
        <f>IFERROR(VLOOKUP(A22,'Pedido '!B:O,12,),"  ")</f>
        <v xml:space="preserve">  </v>
      </c>
      <c r="E22" s="17" t="str">
        <f>IFERROR(VLOOKUP(A22,'Pedido '!B:O,14,),"  ")</f>
        <v xml:space="preserve">  </v>
      </c>
    </row>
    <row r="23" spans="1:5" x14ac:dyDescent="0.25">
      <c r="A23" s="5">
        <v>405594</v>
      </c>
      <c r="B23" s="19" t="s">
        <v>271</v>
      </c>
      <c r="C23" s="11" t="str">
        <f>IFERROR(VLOOKUP(A23,'Pedido '!B:O,11,),"  ")</f>
        <v xml:space="preserve">  </v>
      </c>
      <c r="D23" s="5" t="str">
        <f>IFERROR(VLOOKUP(A23,'Pedido '!B:O,12,),"  ")</f>
        <v xml:space="preserve">  </v>
      </c>
      <c r="E23" s="17" t="str">
        <f>IFERROR(VLOOKUP(A23,'Pedido '!B:O,14,),"  ")</f>
        <v xml:space="preserve">  </v>
      </c>
    </row>
    <row r="24" spans="1:5" x14ac:dyDescent="0.25">
      <c r="A24" s="5">
        <v>405522</v>
      </c>
      <c r="B24" s="19" t="s">
        <v>268</v>
      </c>
      <c r="C24" s="11" t="str">
        <f>IFERROR(VLOOKUP(A24,'Pedido '!B:O,11,),"  ")</f>
        <v xml:space="preserve">  </v>
      </c>
      <c r="D24" s="5" t="str">
        <f>IFERROR(VLOOKUP(A24,'Pedido '!B:O,12,),"  ")</f>
        <v xml:space="preserve">  </v>
      </c>
      <c r="E24" s="17" t="str">
        <f>IFERROR(VLOOKUP(A24,'Pedido '!B:O,14,),"  ")</f>
        <v xml:space="preserve">  </v>
      </c>
    </row>
    <row r="25" spans="1:5" x14ac:dyDescent="0.25">
      <c r="A25" s="5">
        <v>405638</v>
      </c>
      <c r="B25" s="19" t="s">
        <v>269</v>
      </c>
      <c r="C25" s="11" t="str">
        <f>IFERROR(VLOOKUP(A25,'Pedido '!B:O,11,),"  ")</f>
        <v xml:space="preserve">  </v>
      </c>
      <c r="D25" s="5" t="str">
        <f>IFERROR(VLOOKUP(A25,'Pedido '!B:O,12,),"  ")</f>
        <v xml:space="preserve">  </v>
      </c>
      <c r="E25" s="17" t="str">
        <f>IFERROR(VLOOKUP(A25,'Pedido '!B:O,14,),"  ")</f>
        <v xml:space="preserve">  </v>
      </c>
    </row>
    <row r="26" spans="1:5" x14ac:dyDescent="0.25">
      <c r="A26" s="5">
        <v>405706</v>
      </c>
      <c r="B26" s="19" t="s">
        <v>270</v>
      </c>
      <c r="C26" s="11" t="str">
        <f>IFERROR(VLOOKUP(A26,'Pedido '!B:O,11,),"  ")</f>
        <v xml:space="preserve">  </v>
      </c>
      <c r="D26" s="5" t="str">
        <f>IFERROR(VLOOKUP(A26,'Pedido '!B:O,12,),"  ")</f>
        <v xml:space="preserve">  </v>
      </c>
      <c r="E26" s="17" t="str">
        <f>IFERROR(VLOOKUP(A26,'Pedido '!B:O,14,),"  ")</f>
        <v xml:space="preserve">  </v>
      </c>
    </row>
    <row r="27" spans="1:5" x14ac:dyDescent="0.25">
      <c r="A27" s="24" t="s">
        <v>244</v>
      </c>
      <c r="B27" s="24"/>
      <c r="C27" s="24"/>
      <c r="D27" s="24"/>
      <c r="E27" s="17">
        <f>SUM(E2:E26)</f>
        <v>9260.58</v>
      </c>
    </row>
  </sheetData>
  <autoFilter ref="A1:E27" xr:uid="{47455780-C578-4651-9BDD-DE8226E48889}"/>
  <mergeCells count="1">
    <mergeCell ref="A27:D27"/>
  </mergeCells>
  <conditionalFormatting sqref="C1 E1">
    <cfRule type="cellIs" dxfId="1" priority="1" operator="equal">
      <formula>#REF!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95B5-0181-4591-BE67-9888C0E648DD}">
  <dimension ref="A1:E107"/>
  <sheetViews>
    <sheetView topLeftCell="A16" workbookViewId="0">
      <selection activeCell="C107" sqref="C107"/>
    </sheetView>
  </sheetViews>
  <sheetFormatPr defaultRowHeight="15" x14ac:dyDescent="0.25"/>
  <cols>
    <col min="1" max="1" width="14.7109375" style="5" bestFit="1" customWidth="1"/>
    <col min="2" max="2" width="64.5703125" style="19" bestFit="1" customWidth="1"/>
    <col min="3" max="3" width="18.28515625" style="11" bestFit="1" customWidth="1"/>
    <col min="4" max="4" width="11.85546875" style="5" bestFit="1" customWidth="1"/>
    <col min="5" max="5" width="10.7109375" style="17" bestFit="1" customWidth="1"/>
  </cols>
  <sheetData>
    <row r="1" spans="1:5" x14ac:dyDescent="0.25">
      <c r="A1" s="3" t="s">
        <v>238</v>
      </c>
      <c r="B1" s="18" t="s">
        <v>239</v>
      </c>
      <c r="C1" s="14" t="s">
        <v>241</v>
      </c>
      <c r="D1" s="3" t="s">
        <v>243</v>
      </c>
      <c r="E1" s="15" t="s">
        <v>242</v>
      </c>
    </row>
    <row r="2" spans="1:5" x14ac:dyDescent="0.25">
      <c r="A2" s="5">
        <v>405617</v>
      </c>
      <c r="B2" s="19" t="s">
        <v>17</v>
      </c>
      <c r="C2" s="11" t="str">
        <f>IFERROR(VLOOKUP(A2,'Pedido '!B:O,11,),"  ")</f>
        <v xml:space="preserve">  </v>
      </c>
      <c r="D2" s="5" t="str">
        <f>IFERROR(VLOOKUP(A2,'Pedido '!B:O,12,),"  ")</f>
        <v xml:space="preserve">  </v>
      </c>
      <c r="E2" s="17" t="str">
        <f>IFERROR(VLOOKUP(A2,'Pedido '!B:O,14,),"  ")</f>
        <v xml:space="preserve">  </v>
      </c>
    </row>
    <row r="3" spans="1:5" x14ac:dyDescent="0.25">
      <c r="A3" s="5">
        <v>405624</v>
      </c>
      <c r="B3" s="19" t="s">
        <v>18</v>
      </c>
      <c r="C3" s="11" t="str">
        <f>IFERROR(VLOOKUP(A3,'Pedido '!B:O,11,),"  ")</f>
        <v xml:space="preserve">  </v>
      </c>
      <c r="D3" s="5" t="str">
        <f>IFERROR(VLOOKUP(A3,'Pedido '!B:O,12,),"  ")</f>
        <v xml:space="preserve">  </v>
      </c>
      <c r="E3" s="17" t="str">
        <f>IFERROR(VLOOKUP(A3,'Pedido '!B:O,14,),"  ")</f>
        <v xml:space="preserve">  </v>
      </c>
    </row>
    <row r="4" spans="1:5" x14ac:dyDescent="0.25">
      <c r="A4" s="5">
        <v>405670</v>
      </c>
      <c r="B4" s="19" t="s">
        <v>19</v>
      </c>
      <c r="C4" s="11" t="str">
        <f>IFERROR(VLOOKUP(A4,'Pedido '!B:O,11,),"  ")</f>
        <v xml:space="preserve">  </v>
      </c>
      <c r="D4" s="5" t="str">
        <f>IFERROR(VLOOKUP(A4,'Pedido '!B:O,12,),"  ")</f>
        <v xml:space="preserve">  </v>
      </c>
      <c r="E4" s="17" t="str">
        <f>IFERROR(VLOOKUP(A4,'Pedido '!B:O,14,),"  ")</f>
        <v xml:space="preserve">  </v>
      </c>
    </row>
    <row r="5" spans="1:5" x14ac:dyDescent="0.25">
      <c r="A5" s="5">
        <v>405747</v>
      </c>
      <c r="B5" s="19" t="s">
        <v>20</v>
      </c>
      <c r="C5" s="11" t="str">
        <f>IFERROR(VLOOKUP(A5,'Pedido '!B:O,11,),"  ")</f>
        <v xml:space="preserve">  </v>
      </c>
      <c r="D5" s="5" t="str">
        <f>IFERROR(VLOOKUP(A5,'Pedido '!B:O,12,),"  ")</f>
        <v xml:space="preserve">  </v>
      </c>
      <c r="E5" s="17" t="str">
        <f>IFERROR(VLOOKUP(A5,'Pedido '!B:O,14,),"  ")</f>
        <v xml:space="preserve">  </v>
      </c>
    </row>
    <row r="6" spans="1:5" x14ac:dyDescent="0.25">
      <c r="A6" s="5">
        <v>405758</v>
      </c>
      <c r="B6" s="19" t="s">
        <v>21</v>
      </c>
      <c r="C6" s="11" t="str">
        <f>IFERROR(VLOOKUP(A6,'Pedido '!B:O,11,),"  ")</f>
        <v xml:space="preserve">  </v>
      </c>
      <c r="D6" s="5" t="str">
        <f>IFERROR(VLOOKUP(A6,'Pedido '!B:O,12,),"  ")</f>
        <v xml:space="preserve">  </v>
      </c>
      <c r="E6" s="17" t="str">
        <f>IFERROR(VLOOKUP(A6,'Pedido '!B:O,14,),"  ")</f>
        <v xml:space="preserve">  </v>
      </c>
    </row>
    <row r="7" spans="1:5" x14ac:dyDescent="0.25">
      <c r="A7" s="5">
        <v>405760</v>
      </c>
      <c r="B7" s="19" t="s">
        <v>22</v>
      </c>
      <c r="C7" s="11" t="str">
        <f>IFERROR(VLOOKUP(A7,'Pedido '!B:O,11,),"  ")</f>
        <v xml:space="preserve">  </v>
      </c>
      <c r="D7" s="5" t="str">
        <f>IFERROR(VLOOKUP(A7,'Pedido '!B:O,12,),"  ")</f>
        <v xml:space="preserve">  </v>
      </c>
      <c r="E7" s="17" t="str">
        <f>IFERROR(VLOOKUP(A7,'Pedido '!B:O,14,),"  ")</f>
        <v xml:space="preserve">  </v>
      </c>
    </row>
    <row r="8" spans="1:5" x14ac:dyDescent="0.25">
      <c r="A8" s="5">
        <v>405616</v>
      </c>
      <c r="B8" s="19" t="s">
        <v>23</v>
      </c>
      <c r="C8" s="11" t="str">
        <f>IFERROR(VLOOKUP(A8,'Pedido '!B:O,11,),"  ")</f>
        <v xml:space="preserve">  </v>
      </c>
      <c r="D8" s="5" t="str">
        <f>IFERROR(VLOOKUP(A8,'Pedido '!B:O,12,),"  ")</f>
        <v xml:space="preserve">  </v>
      </c>
      <c r="E8" s="17" t="str">
        <f>IFERROR(VLOOKUP(A8,'Pedido '!B:O,14,),"  ")</f>
        <v xml:space="preserve">  </v>
      </c>
    </row>
    <row r="9" spans="1:5" x14ac:dyDescent="0.25">
      <c r="A9" s="5">
        <v>405623</v>
      </c>
      <c r="B9" s="19" t="s">
        <v>24</v>
      </c>
      <c r="C9" s="11" t="str">
        <f>IFERROR(VLOOKUP(A9,'Pedido '!B:O,11,),"  ")</f>
        <v xml:space="preserve">  </v>
      </c>
      <c r="D9" s="5" t="str">
        <f>IFERROR(VLOOKUP(A9,'Pedido '!B:O,12,),"  ")</f>
        <v xml:space="preserve">  </v>
      </c>
      <c r="E9" s="17" t="str">
        <f>IFERROR(VLOOKUP(A9,'Pedido '!B:O,14,),"  ")</f>
        <v xml:space="preserve">  </v>
      </c>
    </row>
    <row r="10" spans="1:5" x14ac:dyDescent="0.25">
      <c r="A10" s="5">
        <v>405746</v>
      </c>
      <c r="B10" s="19" t="s">
        <v>25</v>
      </c>
      <c r="C10" s="11" t="str">
        <f>IFERROR(VLOOKUP(A10,'Pedido '!B:O,11,),"  ")</f>
        <v xml:space="preserve">  </v>
      </c>
      <c r="D10" s="5" t="str">
        <f>IFERROR(VLOOKUP(A10,'Pedido '!B:O,12,),"  ")</f>
        <v xml:space="preserve">  </v>
      </c>
      <c r="E10" s="17" t="str">
        <f>IFERROR(VLOOKUP(A10,'Pedido '!B:O,14,),"  ")</f>
        <v xml:space="preserve">  </v>
      </c>
    </row>
    <row r="11" spans="1:5" x14ac:dyDescent="0.25">
      <c r="A11" s="5">
        <v>405620</v>
      </c>
      <c r="B11" s="19" t="s">
        <v>26</v>
      </c>
      <c r="C11" s="11" t="str">
        <f>IFERROR(VLOOKUP(A11,'Pedido '!B:O,11,),"  ")</f>
        <v xml:space="preserve">  </v>
      </c>
      <c r="D11" s="5" t="str">
        <f>IFERROR(VLOOKUP(A11,'Pedido '!B:O,12,),"  ")</f>
        <v xml:space="preserve">  </v>
      </c>
      <c r="E11" s="17" t="str">
        <f>IFERROR(VLOOKUP(A11,'Pedido '!B:O,14,),"  ")</f>
        <v xml:space="preserve">  </v>
      </c>
    </row>
    <row r="12" spans="1:5" x14ac:dyDescent="0.25">
      <c r="A12" s="5">
        <v>405627</v>
      </c>
      <c r="B12" s="19" t="s">
        <v>27</v>
      </c>
      <c r="C12" s="11" t="str">
        <f>IFERROR(VLOOKUP(A12,'Pedido '!B:O,11,),"  ")</f>
        <v xml:space="preserve">  </v>
      </c>
      <c r="D12" s="5" t="str">
        <f>IFERROR(VLOOKUP(A12,'Pedido '!B:O,12,),"  ")</f>
        <v xml:space="preserve">  </v>
      </c>
      <c r="E12" s="17" t="str">
        <f>IFERROR(VLOOKUP(A12,'Pedido '!B:O,14,),"  ")</f>
        <v xml:space="preserve">  </v>
      </c>
    </row>
    <row r="13" spans="1:5" x14ac:dyDescent="0.25">
      <c r="A13" s="5">
        <v>405672</v>
      </c>
      <c r="B13" s="19" t="s">
        <v>28</v>
      </c>
      <c r="C13" s="11" t="str">
        <f>IFERROR(VLOOKUP(A13,'Pedido '!B:O,11,),"  ")</f>
        <v xml:space="preserve">  </v>
      </c>
      <c r="D13" s="5" t="str">
        <f>IFERROR(VLOOKUP(A13,'Pedido '!B:O,12,),"  ")</f>
        <v xml:space="preserve">  </v>
      </c>
      <c r="E13" s="17" t="str">
        <f>IFERROR(VLOOKUP(A13,'Pedido '!B:O,14,),"  ")</f>
        <v xml:space="preserve">  </v>
      </c>
    </row>
    <row r="14" spans="1:5" x14ac:dyDescent="0.25">
      <c r="A14" s="5">
        <v>405749</v>
      </c>
      <c r="B14" s="19" t="s">
        <v>29</v>
      </c>
      <c r="C14" s="11" t="str">
        <f>IFERROR(VLOOKUP(A14,'Pedido '!B:O,11,),"  ")</f>
        <v xml:space="preserve">  </v>
      </c>
      <c r="D14" s="5" t="str">
        <f>IFERROR(VLOOKUP(A14,'Pedido '!B:O,12,),"  ")</f>
        <v xml:space="preserve">  </v>
      </c>
      <c r="E14" s="17" t="str">
        <f>IFERROR(VLOOKUP(A14,'Pedido '!B:O,14,),"  ")</f>
        <v xml:space="preserve">  </v>
      </c>
    </row>
    <row r="15" spans="1:5" x14ac:dyDescent="0.25">
      <c r="A15" s="5">
        <v>405619</v>
      </c>
      <c r="B15" s="19" t="s">
        <v>30</v>
      </c>
      <c r="C15" s="11">
        <f>IFERROR(VLOOKUP(A15,'Pedido '!B:O,11,),"  ")</f>
        <v>0.05</v>
      </c>
      <c r="D15" s="5">
        <f>IFERROR(VLOOKUP(A15,'Pedido '!B:O,12,),"  ")</f>
        <v>102</v>
      </c>
      <c r="E15" s="17">
        <f>IFERROR(VLOOKUP(A15,'Pedido '!B:O,14,),"  ")</f>
        <v>6937.02</v>
      </c>
    </row>
    <row r="16" spans="1:5" x14ac:dyDescent="0.25">
      <c r="A16" s="5">
        <v>405626</v>
      </c>
      <c r="B16" s="19" t="s">
        <v>31</v>
      </c>
      <c r="C16" s="11" t="str">
        <f>IFERROR(VLOOKUP(A16,'Pedido '!B:O,11,),"  ")</f>
        <v xml:space="preserve">  </v>
      </c>
      <c r="D16" s="5" t="str">
        <f>IFERROR(VLOOKUP(A16,'Pedido '!B:O,12,),"  ")</f>
        <v xml:space="preserve">  </v>
      </c>
      <c r="E16" s="17" t="str">
        <f>IFERROR(VLOOKUP(A16,'Pedido '!B:O,14,),"  ")</f>
        <v xml:space="preserve">  </v>
      </c>
    </row>
    <row r="17" spans="1:5" x14ac:dyDescent="0.25">
      <c r="A17" s="5">
        <v>405630</v>
      </c>
      <c r="B17" s="19" t="s">
        <v>32</v>
      </c>
      <c r="C17" s="11" t="str">
        <f>IFERROR(VLOOKUP(A17,'Pedido '!B:O,11,),"  ")</f>
        <v xml:space="preserve">  </v>
      </c>
      <c r="D17" s="5" t="str">
        <f>IFERROR(VLOOKUP(A17,'Pedido '!B:O,12,),"  ")</f>
        <v xml:space="preserve">  </v>
      </c>
      <c r="E17" s="17" t="str">
        <f>IFERROR(VLOOKUP(A17,'Pedido '!B:O,14,),"  ")</f>
        <v xml:space="preserve">  </v>
      </c>
    </row>
    <row r="18" spans="1:5" x14ac:dyDescent="0.25">
      <c r="A18" s="5">
        <v>405761</v>
      </c>
      <c r="B18" s="19" t="s">
        <v>33</v>
      </c>
      <c r="C18" s="11" t="str">
        <f>IFERROR(VLOOKUP(A18,'Pedido '!B:O,11,),"  ")</f>
        <v xml:space="preserve">  </v>
      </c>
      <c r="D18" s="5" t="str">
        <f>IFERROR(VLOOKUP(A18,'Pedido '!B:O,12,),"  ")</f>
        <v xml:space="preserve">  </v>
      </c>
      <c r="E18" s="17" t="str">
        <f>IFERROR(VLOOKUP(A18,'Pedido '!B:O,14,),"  ")</f>
        <v xml:space="preserve">  </v>
      </c>
    </row>
    <row r="19" spans="1:5" x14ac:dyDescent="0.25">
      <c r="A19" s="5">
        <v>405621</v>
      </c>
      <c r="B19" s="19" t="s">
        <v>34</v>
      </c>
      <c r="C19" s="11" t="str">
        <f>IFERROR(VLOOKUP(A19,'Pedido '!B:O,11,),"  ")</f>
        <v xml:space="preserve">  </v>
      </c>
      <c r="D19" s="5" t="str">
        <f>IFERROR(VLOOKUP(A19,'Pedido '!B:O,12,),"  ")</f>
        <v xml:space="preserve">  </v>
      </c>
      <c r="E19" s="17" t="str">
        <f>IFERROR(VLOOKUP(A19,'Pedido '!B:O,14,),"  ")</f>
        <v xml:space="preserve">  </v>
      </c>
    </row>
    <row r="20" spans="1:5" x14ac:dyDescent="0.25">
      <c r="A20" s="5">
        <v>405632</v>
      </c>
      <c r="B20" s="19" t="s">
        <v>35</v>
      </c>
      <c r="C20" s="11" t="str">
        <f>IFERROR(VLOOKUP(A20,'Pedido '!B:O,11,),"  ")</f>
        <v xml:space="preserve">  </v>
      </c>
      <c r="D20" s="5" t="str">
        <f>IFERROR(VLOOKUP(A20,'Pedido '!B:O,12,),"  ")</f>
        <v xml:space="preserve">  </v>
      </c>
      <c r="E20" s="17" t="str">
        <f>IFERROR(VLOOKUP(A20,'Pedido '!B:O,14,),"  ")</f>
        <v xml:space="preserve">  </v>
      </c>
    </row>
    <row r="21" spans="1:5" x14ac:dyDescent="0.25">
      <c r="A21" s="5">
        <v>405633</v>
      </c>
      <c r="B21" s="19" t="s">
        <v>36</v>
      </c>
      <c r="C21" s="11" t="str">
        <f>IFERROR(VLOOKUP(A21,'Pedido '!B:O,11,),"  ")</f>
        <v xml:space="preserve">  </v>
      </c>
      <c r="D21" s="5" t="str">
        <f>IFERROR(VLOOKUP(A21,'Pedido '!B:O,12,),"  ")</f>
        <v xml:space="preserve">  </v>
      </c>
      <c r="E21" s="17" t="str">
        <f>IFERROR(VLOOKUP(A21,'Pedido '!B:O,14,),"  ")</f>
        <v xml:space="preserve">  </v>
      </c>
    </row>
    <row r="22" spans="1:5" x14ac:dyDescent="0.25">
      <c r="A22" s="5">
        <v>405639</v>
      </c>
      <c r="B22" s="19" t="s">
        <v>37</v>
      </c>
      <c r="C22" s="11" t="str">
        <f>IFERROR(VLOOKUP(A22,'Pedido '!B:O,11,),"  ")</f>
        <v xml:space="preserve">  </v>
      </c>
      <c r="D22" s="5" t="str">
        <f>IFERROR(VLOOKUP(A22,'Pedido '!B:O,12,),"  ")</f>
        <v xml:space="preserve">  </v>
      </c>
      <c r="E22" s="17" t="str">
        <f>IFERROR(VLOOKUP(A22,'Pedido '!B:O,14,),"  ")</f>
        <v xml:space="preserve">  </v>
      </c>
    </row>
    <row r="23" spans="1:5" x14ac:dyDescent="0.25">
      <c r="A23" s="5">
        <v>405343</v>
      </c>
      <c r="B23" s="19" t="s">
        <v>38</v>
      </c>
      <c r="C23" s="11" t="str">
        <f>IFERROR(VLOOKUP(A23,'Pedido '!B:O,11,),"  ")</f>
        <v xml:space="preserve">  </v>
      </c>
      <c r="D23" s="5" t="str">
        <f>IFERROR(VLOOKUP(A23,'Pedido '!B:O,12,),"  ")</f>
        <v xml:space="preserve">  </v>
      </c>
      <c r="E23" s="17" t="str">
        <f>IFERROR(VLOOKUP(A23,'Pedido '!B:O,14,),"  ")</f>
        <v xml:space="preserve">  </v>
      </c>
    </row>
    <row r="24" spans="1:5" x14ac:dyDescent="0.25">
      <c r="A24" s="5">
        <v>405628</v>
      </c>
      <c r="B24" s="19" t="s">
        <v>39</v>
      </c>
      <c r="C24" s="11" t="str">
        <f>IFERROR(VLOOKUP(A24,'Pedido '!B:O,11,),"  ")</f>
        <v xml:space="preserve">  </v>
      </c>
      <c r="D24" s="5" t="str">
        <f>IFERROR(VLOOKUP(A24,'Pedido '!B:O,12,),"  ")</f>
        <v xml:space="preserve">  </v>
      </c>
      <c r="E24" s="17" t="str">
        <f>IFERROR(VLOOKUP(A24,'Pedido '!B:O,14,),"  ")</f>
        <v xml:space="preserve">  </v>
      </c>
    </row>
    <row r="25" spans="1:5" x14ac:dyDescent="0.25">
      <c r="A25" s="5">
        <v>405754</v>
      </c>
      <c r="B25" s="19" t="s">
        <v>40</v>
      </c>
      <c r="C25" s="11" t="str">
        <f>IFERROR(VLOOKUP(A25,'Pedido '!B:O,11,),"  ")</f>
        <v xml:space="preserve">  </v>
      </c>
      <c r="D25" s="5" t="str">
        <f>IFERROR(VLOOKUP(A25,'Pedido '!B:O,12,),"  ")</f>
        <v xml:space="preserve">  </v>
      </c>
      <c r="E25" s="17" t="str">
        <f>IFERROR(VLOOKUP(A25,'Pedido '!B:O,14,),"  ")</f>
        <v xml:space="preserve">  </v>
      </c>
    </row>
    <row r="26" spans="1:5" x14ac:dyDescent="0.25">
      <c r="A26" s="5">
        <v>405755</v>
      </c>
      <c r="B26" s="19" t="s">
        <v>41</v>
      </c>
      <c r="C26" s="11" t="str">
        <f>IFERROR(VLOOKUP(A26,'Pedido '!B:O,11,),"  ")</f>
        <v xml:space="preserve">  </v>
      </c>
      <c r="D26" s="5" t="str">
        <f>IFERROR(VLOOKUP(A26,'Pedido '!B:O,12,),"  ")</f>
        <v xml:space="preserve">  </v>
      </c>
      <c r="E26" s="17" t="str">
        <f>IFERROR(VLOOKUP(A26,'Pedido '!B:O,14,),"  ")</f>
        <v xml:space="preserve">  </v>
      </c>
    </row>
    <row r="27" spans="1:5" x14ac:dyDescent="0.25">
      <c r="A27" s="5">
        <v>405762</v>
      </c>
      <c r="B27" s="19" t="s">
        <v>42</v>
      </c>
      <c r="C27" s="11" t="str">
        <f>IFERROR(VLOOKUP(A27,'Pedido '!B:O,11,),"  ")</f>
        <v xml:space="preserve">  </v>
      </c>
      <c r="D27" s="5" t="str">
        <f>IFERROR(VLOOKUP(A27,'Pedido '!B:O,12,),"  ")</f>
        <v xml:space="preserve">  </v>
      </c>
      <c r="E27" s="17" t="str">
        <f>IFERROR(VLOOKUP(A27,'Pedido '!B:O,14,),"  ")</f>
        <v xml:space="preserve">  </v>
      </c>
    </row>
    <row r="28" spans="1:5" x14ac:dyDescent="0.25">
      <c r="A28" s="5">
        <v>405634</v>
      </c>
      <c r="B28" s="19" t="s">
        <v>43</v>
      </c>
      <c r="C28" s="11" t="str">
        <f>IFERROR(VLOOKUP(A28,'Pedido '!B:O,11,),"  ")</f>
        <v xml:space="preserve">  </v>
      </c>
      <c r="D28" s="5" t="str">
        <f>IFERROR(VLOOKUP(A28,'Pedido '!B:O,12,),"  ")</f>
        <v xml:space="preserve">  </v>
      </c>
      <c r="E28" s="17" t="str">
        <f>IFERROR(VLOOKUP(A28,'Pedido '!B:O,14,),"  ")</f>
        <v xml:space="preserve">  </v>
      </c>
    </row>
    <row r="29" spans="1:5" x14ac:dyDescent="0.25">
      <c r="A29" s="5">
        <v>405635</v>
      </c>
      <c r="B29" s="19" t="s">
        <v>44</v>
      </c>
      <c r="C29" s="11" t="str">
        <f>IFERROR(VLOOKUP(A29,'Pedido '!B:O,11,),"  ")</f>
        <v xml:space="preserve">  </v>
      </c>
      <c r="D29" s="5" t="str">
        <f>IFERROR(VLOOKUP(A29,'Pedido '!B:O,12,),"  ")</f>
        <v xml:space="preserve">  </v>
      </c>
      <c r="E29" s="17" t="str">
        <f>IFERROR(VLOOKUP(A29,'Pedido '!B:O,14,),"  ")</f>
        <v xml:space="preserve">  </v>
      </c>
    </row>
    <row r="30" spans="1:5" x14ac:dyDescent="0.25">
      <c r="A30" s="5">
        <v>405636</v>
      </c>
      <c r="B30" s="19" t="s">
        <v>45</v>
      </c>
      <c r="C30" s="11" t="str">
        <f>IFERROR(VLOOKUP(A30,'Pedido '!B:O,11,),"  ")</f>
        <v xml:space="preserve">  </v>
      </c>
      <c r="D30" s="5" t="str">
        <f>IFERROR(VLOOKUP(A30,'Pedido '!B:O,12,),"  ")</f>
        <v xml:space="preserve">  </v>
      </c>
      <c r="E30" s="17" t="str">
        <f>IFERROR(VLOOKUP(A30,'Pedido '!B:O,14,),"  ")</f>
        <v xml:space="preserve">  </v>
      </c>
    </row>
    <row r="31" spans="1:5" x14ac:dyDescent="0.25">
      <c r="A31" s="5">
        <v>405637</v>
      </c>
      <c r="B31" s="19" t="s">
        <v>46</v>
      </c>
      <c r="C31" s="11" t="str">
        <f>IFERROR(VLOOKUP(A31,'Pedido '!B:O,11,),"  ")</f>
        <v xml:space="preserve">  </v>
      </c>
      <c r="D31" s="5" t="str">
        <f>IFERROR(VLOOKUP(A31,'Pedido '!B:O,12,),"  ")</f>
        <v xml:space="preserve">  </v>
      </c>
      <c r="E31" s="17" t="str">
        <f>IFERROR(VLOOKUP(A31,'Pedido '!B:O,14,),"  ")</f>
        <v xml:space="preserve">  </v>
      </c>
    </row>
    <row r="32" spans="1:5" x14ac:dyDescent="0.25">
      <c r="A32" s="5">
        <v>405645</v>
      </c>
      <c r="B32" s="19" t="s">
        <v>47</v>
      </c>
      <c r="C32" s="11" t="str">
        <f>IFERROR(VLOOKUP(A32,'Pedido '!B:O,11,),"  ")</f>
        <v xml:space="preserve">  </v>
      </c>
      <c r="D32" s="5" t="str">
        <f>IFERROR(VLOOKUP(A32,'Pedido '!B:O,12,),"  ")</f>
        <v xml:space="preserve">  </v>
      </c>
      <c r="E32" s="17" t="str">
        <f>IFERROR(VLOOKUP(A32,'Pedido '!B:O,14,),"  ")</f>
        <v xml:space="preserve">  </v>
      </c>
    </row>
    <row r="33" spans="1:5" x14ac:dyDescent="0.25">
      <c r="A33" s="5">
        <v>405646</v>
      </c>
      <c r="B33" s="19" t="s">
        <v>48</v>
      </c>
      <c r="C33" s="11" t="str">
        <f>IFERROR(VLOOKUP(A33,'Pedido '!B:O,11,),"  ")</f>
        <v xml:space="preserve">  </v>
      </c>
      <c r="D33" s="5" t="str">
        <f>IFERROR(VLOOKUP(A33,'Pedido '!B:O,12,),"  ")</f>
        <v xml:space="preserve">  </v>
      </c>
      <c r="E33" s="17" t="str">
        <f>IFERROR(VLOOKUP(A33,'Pedido '!B:O,14,),"  ")</f>
        <v xml:space="preserve">  </v>
      </c>
    </row>
    <row r="34" spans="1:5" x14ac:dyDescent="0.25">
      <c r="A34" s="5">
        <v>405661</v>
      </c>
      <c r="B34" s="19" t="s">
        <v>49</v>
      </c>
      <c r="C34" s="11" t="str">
        <f>IFERROR(VLOOKUP(A34,'Pedido '!B:O,11,),"  ")</f>
        <v xml:space="preserve">  </v>
      </c>
      <c r="D34" s="5" t="str">
        <f>IFERROR(VLOOKUP(A34,'Pedido '!B:O,12,),"  ")</f>
        <v xml:space="preserve">  </v>
      </c>
      <c r="E34" s="17" t="str">
        <f>IFERROR(VLOOKUP(A34,'Pedido '!B:O,14,),"  ")</f>
        <v xml:space="preserve">  </v>
      </c>
    </row>
    <row r="35" spans="1:5" x14ac:dyDescent="0.25">
      <c r="A35" s="5">
        <v>405662</v>
      </c>
      <c r="B35" s="19" t="s">
        <v>50</v>
      </c>
      <c r="C35" s="11" t="str">
        <f>IFERROR(VLOOKUP(A35,'Pedido '!B:O,11,),"  ")</f>
        <v xml:space="preserve">  </v>
      </c>
      <c r="D35" s="5" t="str">
        <f>IFERROR(VLOOKUP(A35,'Pedido '!B:O,12,),"  ")</f>
        <v xml:space="preserve">  </v>
      </c>
      <c r="E35" s="17" t="str">
        <f>IFERROR(VLOOKUP(A35,'Pedido '!B:O,14,),"  ")</f>
        <v xml:space="preserve">  </v>
      </c>
    </row>
    <row r="36" spans="1:5" x14ac:dyDescent="0.25">
      <c r="A36" s="5">
        <v>405663</v>
      </c>
      <c r="B36" s="19" t="s">
        <v>51</v>
      </c>
      <c r="C36" s="11" t="str">
        <f>IFERROR(VLOOKUP(A36,'Pedido '!B:O,11,),"  ")</f>
        <v xml:space="preserve">  </v>
      </c>
      <c r="D36" s="5" t="str">
        <f>IFERROR(VLOOKUP(A36,'Pedido '!B:O,12,),"  ")</f>
        <v xml:space="preserve">  </v>
      </c>
      <c r="E36" s="17" t="str">
        <f>IFERROR(VLOOKUP(A36,'Pedido '!B:O,14,),"  ")</f>
        <v xml:space="preserve">  </v>
      </c>
    </row>
    <row r="37" spans="1:5" x14ac:dyDescent="0.25">
      <c r="A37" s="5">
        <v>405664</v>
      </c>
      <c r="B37" s="19" t="s">
        <v>52</v>
      </c>
      <c r="C37" s="11" t="str">
        <f>IFERROR(VLOOKUP(A37,'Pedido '!B:O,11,),"  ")</f>
        <v xml:space="preserve">  </v>
      </c>
      <c r="D37" s="5" t="str">
        <f>IFERROR(VLOOKUP(A37,'Pedido '!B:O,12,),"  ")</f>
        <v xml:space="preserve">  </v>
      </c>
      <c r="E37" s="17" t="str">
        <f>IFERROR(VLOOKUP(A37,'Pedido '!B:O,14,),"  ")</f>
        <v xml:space="preserve">  </v>
      </c>
    </row>
    <row r="38" spans="1:5" x14ac:dyDescent="0.25">
      <c r="A38" s="5">
        <v>405687</v>
      </c>
      <c r="B38" s="19" t="s">
        <v>53</v>
      </c>
      <c r="C38" s="11" t="str">
        <f>IFERROR(VLOOKUP(A38,'Pedido '!B:O,11,),"  ")</f>
        <v xml:space="preserve">  </v>
      </c>
      <c r="D38" s="5" t="str">
        <f>IFERROR(VLOOKUP(A38,'Pedido '!B:O,12,),"  ")</f>
        <v xml:space="preserve">  </v>
      </c>
      <c r="E38" s="17" t="str">
        <f>IFERROR(VLOOKUP(A38,'Pedido '!B:O,14,),"  ")</f>
        <v xml:space="preserve">  </v>
      </c>
    </row>
    <row r="39" spans="1:5" x14ac:dyDescent="0.25">
      <c r="A39" s="5">
        <v>405702</v>
      </c>
      <c r="B39" s="19" t="s">
        <v>54</v>
      </c>
      <c r="C39" s="11" t="str">
        <f>IFERROR(VLOOKUP(A39,'Pedido '!B:O,11,),"  ")</f>
        <v xml:space="preserve">  </v>
      </c>
      <c r="D39" s="5" t="str">
        <f>IFERROR(VLOOKUP(A39,'Pedido '!B:O,12,),"  ")</f>
        <v xml:space="preserve">  </v>
      </c>
      <c r="E39" s="17" t="str">
        <f>IFERROR(VLOOKUP(A39,'Pedido '!B:O,14,),"  ")</f>
        <v xml:space="preserve">  </v>
      </c>
    </row>
    <row r="40" spans="1:5" x14ac:dyDescent="0.25">
      <c r="A40" s="5">
        <v>405703</v>
      </c>
      <c r="B40" s="19" t="s">
        <v>55</v>
      </c>
      <c r="C40" s="11" t="str">
        <f>IFERROR(VLOOKUP(A40,'Pedido '!B:O,11,),"  ")</f>
        <v xml:space="preserve">  </v>
      </c>
      <c r="D40" s="5" t="str">
        <f>IFERROR(VLOOKUP(A40,'Pedido '!B:O,12,),"  ")</f>
        <v xml:space="preserve">  </v>
      </c>
      <c r="E40" s="17" t="str">
        <f>IFERROR(VLOOKUP(A40,'Pedido '!B:O,14,),"  ")</f>
        <v xml:space="preserve">  </v>
      </c>
    </row>
    <row r="41" spans="1:5" x14ac:dyDescent="0.25">
      <c r="A41" s="5">
        <v>405756</v>
      </c>
      <c r="B41" s="19" t="s">
        <v>56</v>
      </c>
      <c r="C41" s="11" t="str">
        <f>IFERROR(VLOOKUP(A41,'Pedido '!B:O,11,),"  ")</f>
        <v xml:space="preserve">  </v>
      </c>
      <c r="D41" s="5" t="str">
        <f>IFERROR(VLOOKUP(A41,'Pedido '!B:O,12,),"  ")</f>
        <v xml:space="preserve">  </v>
      </c>
      <c r="E41" s="17" t="str">
        <f>IFERROR(VLOOKUP(A41,'Pedido '!B:O,14,),"  ")</f>
        <v xml:space="preserve">  </v>
      </c>
    </row>
    <row r="42" spans="1:5" x14ac:dyDescent="0.25">
      <c r="A42" s="5">
        <v>405757</v>
      </c>
      <c r="B42" s="19" t="s">
        <v>57</v>
      </c>
      <c r="C42" s="11" t="str">
        <f>IFERROR(VLOOKUP(A42,'Pedido '!B:O,11,),"  ")</f>
        <v xml:space="preserve">  </v>
      </c>
      <c r="D42" s="5" t="str">
        <f>IFERROR(VLOOKUP(A42,'Pedido '!B:O,12,),"  ")</f>
        <v xml:space="preserve">  </v>
      </c>
      <c r="E42" s="17" t="str">
        <f>IFERROR(VLOOKUP(A42,'Pedido '!B:O,14,),"  ")</f>
        <v xml:space="preserve">  </v>
      </c>
    </row>
    <row r="43" spans="1:5" x14ac:dyDescent="0.25">
      <c r="A43" s="5">
        <v>405707</v>
      </c>
      <c r="B43" s="19" t="s">
        <v>58</v>
      </c>
      <c r="C43" s="11" t="str">
        <f>IFERROR(VLOOKUP(A43,'Pedido '!B:O,11,),"  ")</f>
        <v xml:space="preserve">  </v>
      </c>
      <c r="D43" s="5" t="str">
        <f>IFERROR(VLOOKUP(A43,'Pedido '!B:O,12,),"  ")</f>
        <v xml:space="preserve">  </v>
      </c>
      <c r="E43" s="17" t="str">
        <f>IFERROR(VLOOKUP(A43,'Pedido '!B:O,14,),"  ")</f>
        <v xml:space="preserve">  </v>
      </c>
    </row>
    <row r="44" spans="1:5" x14ac:dyDescent="0.25">
      <c r="A44" s="5">
        <v>405643</v>
      </c>
      <c r="B44" s="19" t="s">
        <v>59</v>
      </c>
      <c r="C44" s="11" t="str">
        <f>IFERROR(VLOOKUP(A44,'Pedido '!B:O,11,),"  ")</f>
        <v xml:space="preserve">  </v>
      </c>
      <c r="D44" s="5" t="str">
        <f>IFERROR(VLOOKUP(A44,'Pedido '!B:O,12,),"  ")</f>
        <v xml:space="preserve">  </v>
      </c>
      <c r="E44" s="17" t="str">
        <f>IFERROR(VLOOKUP(A44,'Pedido '!B:O,14,),"  ")</f>
        <v xml:space="preserve">  </v>
      </c>
    </row>
    <row r="45" spans="1:5" x14ac:dyDescent="0.25">
      <c r="A45" s="5">
        <v>405677</v>
      </c>
      <c r="B45" s="19" t="s">
        <v>60</v>
      </c>
      <c r="C45" s="11" t="str">
        <f>IFERROR(VLOOKUP(A45,'Pedido '!B:O,11,),"  ")</f>
        <v xml:space="preserve">  </v>
      </c>
      <c r="D45" s="5" t="str">
        <f>IFERROR(VLOOKUP(A45,'Pedido '!B:O,12,),"  ")</f>
        <v xml:space="preserve">  </v>
      </c>
      <c r="E45" s="17" t="str">
        <f>IFERROR(VLOOKUP(A45,'Pedido '!B:O,14,),"  ")</f>
        <v xml:space="preserve">  </v>
      </c>
    </row>
    <row r="46" spans="1:5" x14ac:dyDescent="0.25">
      <c r="A46" s="5">
        <v>405618</v>
      </c>
      <c r="B46" s="19" t="s">
        <v>61</v>
      </c>
      <c r="C46" s="11" t="str">
        <f>IFERROR(VLOOKUP(A46,'Pedido '!B:O,11,),"  ")</f>
        <v xml:space="preserve">  </v>
      </c>
      <c r="D46" s="5" t="str">
        <f>IFERROR(VLOOKUP(A46,'Pedido '!B:O,12,),"  ")</f>
        <v xml:space="preserve">  </v>
      </c>
      <c r="E46" s="17" t="str">
        <f>IFERROR(VLOOKUP(A46,'Pedido '!B:O,14,),"  ")</f>
        <v xml:space="preserve">  </v>
      </c>
    </row>
    <row r="47" spans="1:5" x14ac:dyDescent="0.25">
      <c r="A47" s="5">
        <v>405625</v>
      </c>
      <c r="B47" s="19" t="s">
        <v>62</v>
      </c>
      <c r="C47" s="11" t="str">
        <f>IFERROR(VLOOKUP(A47,'Pedido '!B:O,11,),"  ")</f>
        <v xml:space="preserve">  </v>
      </c>
      <c r="D47" s="5" t="str">
        <f>IFERROR(VLOOKUP(A47,'Pedido '!B:O,12,),"  ")</f>
        <v xml:space="preserve">  </v>
      </c>
      <c r="E47" s="17" t="str">
        <f>IFERROR(VLOOKUP(A47,'Pedido '!B:O,14,),"  ")</f>
        <v xml:space="preserve">  </v>
      </c>
    </row>
    <row r="48" spans="1:5" x14ac:dyDescent="0.25">
      <c r="A48" s="5">
        <v>405748</v>
      </c>
      <c r="B48" s="19" t="s">
        <v>63</v>
      </c>
      <c r="C48" s="11" t="str">
        <f>IFERROR(VLOOKUP(A48,'Pedido '!B:O,11,),"  ")</f>
        <v xml:space="preserve">  </v>
      </c>
      <c r="D48" s="5" t="str">
        <f>IFERROR(VLOOKUP(A48,'Pedido '!B:O,12,),"  ")</f>
        <v xml:space="preserve">  </v>
      </c>
      <c r="E48" s="17" t="str">
        <f>IFERROR(VLOOKUP(A48,'Pedido '!B:O,14,),"  ")</f>
        <v xml:space="preserve">  </v>
      </c>
    </row>
    <row r="49" spans="1:5" x14ac:dyDescent="0.25">
      <c r="A49" s="5">
        <v>405350</v>
      </c>
      <c r="B49" s="19" t="s">
        <v>64</v>
      </c>
      <c r="C49" s="11" t="str">
        <f>IFERROR(VLOOKUP(A49,'Pedido '!B:O,11,),"  ")</f>
        <v xml:space="preserve">  </v>
      </c>
      <c r="D49" s="5" t="str">
        <f>IFERROR(VLOOKUP(A49,'Pedido '!B:O,12,),"  ")</f>
        <v xml:space="preserve">  </v>
      </c>
      <c r="E49" s="17" t="str">
        <f>IFERROR(VLOOKUP(A49,'Pedido '!B:O,14,),"  ")</f>
        <v xml:space="preserve">  </v>
      </c>
    </row>
    <row r="50" spans="1:5" x14ac:dyDescent="0.25">
      <c r="A50" s="5">
        <v>405478</v>
      </c>
      <c r="B50" s="19" t="s">
        <v>65</v>
      </c>
      <c r="C50" s="11" t="str">
        <f>IFERROR(VLOOKUP(A50,'Pedido '!B:O,11,),"  ")</f>
        <v xml:space="preserve">  </v>
      </c>
      <c r="D50" s="5" t="str">
        <f>IFERROR(VLOOKUP(A50,'Pedido '!B:O,12,),"  ")</f>
        <v xml:space="preserve">  </v>
      </c>
      <c r="E50" s="17" t="str">
        <f>IFERROR(VLOOKUP(A50,'Pedido '!B:O,14,),"  ")</f>
        <v xml:space="preserve">  </v>
      </c>
    </row>
    <row r="51" spans="1:5" x14ac:dyDescent="0.25">
      <c r="A51" s="5">
        <v>405641</v>
      </c>
      <c r="B51" s="19" t="s">
        <v>66</v>
      </c>
      <c r="C51" s="11" t="str">
        <f>IFERROR(VLOOKUP(A51,'Pedido '!B:O,11,),"  ")</f>
        <v xml:space="preserve">  </v>
      </c>
      <c r="D51" s="5" t="str">
        <f>IFERROR(VLOOKUP(A51,'Pedido '!B:O,12,),"  ")</f>
        <v xml:space="preserve">  </v>
      </c>
      <c r="E51" s="17" t="str">
        <f>IFERROR(VLOOKUP(A51,'Pedido '!B:O,14,),"  ")</f>
        <v xml:space="preserve">  </v>
      </c>
    </row>
    <row r="52" spans="1:5" x14ac:dyDescent="0.25">
      <c r="A52" s="5">
        <v>405642</v>
      </c>
      <c r="B52" s="19" t="s">
        <v>67</v>
      </c>
      <c r="C52" s="11" t="str">
        <f>IFERROR(VLOOKUP(A52,'Pedido '!B:O,11,),"  ")</f>
        <v xml:space="preserve">  </v>
      </c>
      <c r="D52" s="5" t="str">
        <f>IFERROR(VLOOKUP(A52,'Pedido '!B:O,12,),"  ")</f>
        <v xml:space="preserve">  </v>
      </c>
      <c r="E52" s="17" t="str">
        <f>IFERROR(VLOOKUP(A52,'Pedido '!B:O,14,),"  ")</f>
        <v xml:space="preserve">  </v>
      </c>
    </row>
    <row r="53" spans="1:5" x14ac:dyDescent="0.25">
      <c r="A53" s="5">
        <v>405675</v>
      </c>
      <c r="B53" s="19" t="s">
        <v>68</v>
      </c>
      <c r="C53" s="11" t="str">
        <f>IFERROR(VLOOKUP(A53,'Pedido '!B:O,11,),"  ")</f>
        <v xml:space="preserve">  </v>
      </c>
      <c r="D53" s="5" t="str">
        <f>IFERROR(VLOOKUP(A53,'Pedido '!B:O,12,),"  ")</f>
        <v xml:space="preserve">  </v>
      </c>
      <c r="E53" s="17" t="str">
        <f>IFERROR(VLOOKUP(A53,'Pedido '!B:O,14,),"  ")</f>
        <v xml:space="preserve">  </v>
      </c>
    </row>
    <row r="54" spans="1:5" x14ac:dyDescent="0.25">
      <c r="A54" s="5">
        <v>405764</v>
      </c>
      <c r="B54" s="19" t="s">
        <v>69</v>
      </c>
      <c r="C54" s="11" t="str">
        <f>IFERROR(VLOOKUP(A54,'Pedido '!B:O,11,),"  ")</f>
        <v xml:space="preserve">  </v>
      </c>
      <c r="D54" s="5" t="str">
        <f>IFERROR(VLOOKUP(A54,'Pedido '!B:O,12,),"  ")</f>
        <v xml:space="preserve">  </v>
      </c>
      <c r="E54" s="17" t="str">
        <f>IFERROR(VLOOKUP(A54,'Pedido '!B:O,14,),"  ")</f>
        <v xml:space="preserve">  </v>
      </c>
    </row>
    <row r="55" spans="1:5" x14ac:dyDescent="0.25">
      <c r="A55" s="5">
        <v>405678</v>
      </c>
      <c r="B55" s="19" t="s">
        <v>70</v>
      </c>
      <c r="C55" s="11" t="str">
        <f>IFERROR(VLOOKUP(A55,'Pedido '!B:O,11,),"  ")</f>
        <v xml:space="preserve">  </v>
      </c>
      <c r="D55" s="5" t="str">
        <f>IFERROR(VLOOKUP(A55,'Pedido '!B:O,12,),"  ")</f>
        <v xml:space="preserve">  </v>
      </c>
      <c r="E55" s="17" t="str">
        <f>IFERROR(VLOOKUP(A55,'Pedido '!B:O,14,),"  ")</f>
        <v xml:space="preserve">  </v>
      </c>
    </row>
    <row r="56" spans="1:5" x14ac:dyDescent="0.25">
      <c r="A56" s="5">
        <v>405778</v>
      </c>
      <c r="B56" s="19" t="s">
        <v>71</v>
      </c>
      <c r="C56" s="11" t="str">
        <f>IFERROR(VLOOKUP(A56,'Pedido '!B:O,11,),"  ")</f>
        <v xml:space="preserve">  </v>
      </c>
      <c r="D56" s="5" t="str">
        <f>IFERROR(VLOOKUP(A56,'Pedido '!B:O,12,),"  ")</f>
        <v xml:space="preserve">  </v>
      </c>
      <c r="E56" s="17" t="str">
        <f>IFERROR(VLOOKUP(A56,'Pedido '!B:O,14,),"  ")</f>
        <v xml:space="preserve">  </v>
      </c>
    </row>
    <row r="57" spans="1:5" x14ac:dyDescent="0.25">
      <c r="A57" s="5">
        <v>405780</v>
      </c>
      <c r="B57" s="19" t="s">
        <v>72</v>
      </c>
      <c r="C57" s="11" t="str">
        <f>IFERROR(VLOOKUP(A57,'Pedido '!B:O,11,),"  ")</f>
        <v xml:space="preserve">  </v>
      </c>
      <c r="D57" s="5" t="str">
        <f>IFERROR(VLOOKUP(A57,'Pedido '!B:O,12,),"  ")</f>
        <v xml:space="preserve">  </v>
      </c>
      <c r="E57" s="17" t="str">
        <f>IFERROR(VLOOKUP(A57,'Pedido '!B:O,14,),"  ")</f>
        <v xml:space="preserve">  </v>
      </c>
    </row>
    <row r="58" spans="1:5" x14ac:dyDescent="0.25">
      <c r="A58" s="5">
        <v>405779</v>
      </c>
      <c r="B58" s="19" t="s">
        <v>73</v>
      </c>
      <c r="C58" s="11" t="str">
        <f>IFERROR(VLOOKUP(A58,'Pedido '!B:O,11,),"  ")</f>
        <v xml:space="preserve">  </v>
      </c>
      <c r="D58" s="5" t="str">
        <f>IFERROR(VLOOKUP(A58,'Pedido '!B:O,12,),"  ")</f>
        <v xml:space="preserve">  </v>
      </c>
      <c r="E58" s="17" t="str">
        <f>IFERROR(VLOOKUP(A58,'Pedido '!B:O,14,),"  ")</f>
        <v xml:space="preserve">  </v>
      </c>
    </row>
    <row r="59" spans="1:5" x14ac:dyDescent="0.25">
      <c r="A59" s="5">
        <v>405367</v>
      </c>
      <c r="B59" s="19" t="s">
        <v>74</v>
      </c>
      <c r="C59" s="11" t="str">
        <f>IFERROR(VLOOKUP(A59,'Pedido '!B:O,11,),"  ")</f>
        <v xml:space="preserve">  </v>
      </c>
      <c r="D59" s="5" t="str">
        <f>IFERROR(VLOOKUP(A59,'Pedido '!B:O,12,),"  ")</f>
        <v xml:space="preserve">  </v>
      </c>
      <c r="E59" s="17" t="str">
        <f>IFERROR(VLOOKUP(A59,'Pedido '!B:O,14,),"  ")</f>
        <v xml:space="preserve">  </v>
      </c>
    </row>
    <row r="60" spans="1:5" x14ac:dyDescent="0.25">
      <c r="A60" s="5">
        <v>405368</v>
      </c>
      <c r="B60" s="19" t="s">
        <v>75</v>
      </c>
      <c r="C60" s="11" t="str">
        <f>IFERROR(VLOOKUP(A60,'Pedido '!B:O,11,),"  ")</f>
        <v xml:space="preserve">  </v>
      </c>
      <c r="D60" s="5" t="str">
        <f>IFERROR(VLOOKUP(A60,'Pedido '!B:O,12,),"  ")</f>
        <v xml:space="preserve">  </v>
      </c>
      <c r="E60" s="17" t="str">
        <f>IFERROR(VLOOKUP(A60,'Pedido '!B:O,14,),"  ")</f>
        <v xml:space="preserve">  </v>
      </c>
    </row>
    <row r="61" spans="1:5" x14ac:dyDescent="0.25">
      <c r="A61" s="5">
        <v>405370</v>
      </c>
      <c r="B61" s="19" t="s">
        <v>76</v>
      </c>
      <c r="C61" s="11" t="str">
        <f>IFERROR(VLOOKUP(A61,'Pedido '!B:O,11,),"  ")</f>
        <v xml:space="preserve">  </v>
      </c>
      <c r="D61" s="5" t="str">
        <f>IFERROR(VLOOKUP(A61,'Pedido '!B:O,12,),"  ")</f>
        <v xml:space="preserve">  </v>
      </c>
      <c r="E61" s="17" t="str">
        <f>IFERROR(VLOOKUP(A61,'Pedido '!B:O,14,),"  ")</f>
        <v xml:space="preserve">  </v>
      </c>
    </row>
    <row r="62" spans="1:5" x14ac:dyDescent="0.25">
      <c r="A62" s="5">
        <v>405371</v>
      </c>
      <c r="B62" s="19" t="s">
        <v>77</v>
      </c>
      <c r="C62" s="11" t="str">
        <f>IFERROR(VLOOKUP(A62,'Pedido '!B:O,11,),"  ")</f>
        <v xml:space="preserve">  </v>
      </c>
      <c r="D62" s="5" t="str">
        <f>IFERROR(VLOOKUP(A62,'Pedido '!B:O,12,),"  ")</f>
        <v xml:space="preserve">  </v>
      </c>
      <c r="E62" s="17" t="str">
        <f>IFERROR(VLOOKUP(A62,'Pedido '!B:O,14,),"  ")</f>
        <v xml:space="preserve">  </v>
      </c>
    </row>
    <row r="63" spans="1:5" x14ac:dyDescent="0.25">
      <c r="A63" s="5">
        <v>405377</v>
      </c>
      <c r="B63" s="19" t="s">
        <v>78</v>
      </c>
      <c r="C63" s="11" t="str">
        <f>IFERROR(VLOOKUP(A63,'Pedido '!B:O,11,),"  ")</f>
        <v xml:space="preserve">  </v>
      </c>
      <c r="D63" s="5" t="str">
        <f>IFERROR(VLOOKUP(A63,'Pedido '!B:O,12,),"  ")</f>
        <v xml:space="preserve">  </v>
      </c>
      <c r="E63" s="17" t="str">
        <f>IFERROR(VLOOKUP(A63,'Pedido '!B:O,14,),"  ")</f>
        <v xml:space="preserve">  </v>
      </c>
    </row>
    <row r="64" spans="1:5" x14ac:dyDescent="0.25">
      <c r="A64" s="5">
        <v>405378</v>
      </c>
      <c r="B64" s="19" t="s">
        <v>79</v>
      </c>
      <c r="C64" s="11" t="str">
        <f>IFERROR(VLOOKUP(A64,'Pedido '!B:O,11,),"  ")</f>
        <v xml:space="preserve">  </v>
      </c>
      <c r="D64" s="5" t="str">
        <f>IFERROR(VLOOKUP(A64,'Pedido '!B:O,12,),"  ")</f>
        <v xml:space="preserve">  </v>
      </c>
      <c r="E64" s="17" t="str">
        <f>IFERROR(VLOOKUP(A64,'Pedido '!B:O,14,),"  ")</f>
        <v xml:space="preserve">  </v>
      </c>
    </row>
    <row r="65" spans="1:5" x14ac:dyDescent="0.25">
      <c r="A65" s="5">
        <v>405379</v>
      </c>
      <c r="B65" s="19" t="s">
        <v>80</v>
      </c>
      <c r="C65" s="11" t="str">
        <f>IFERROR(VLOOKUP(A65,'Pedido '!B:O,11,),"  ")</f>
        <v xml:space="preserve">  </v>
      </c>
      <c r="D65" s="5" t="str">
        <f>IFERROR(VLOOKUP(A65,'Pedido '!B:O,12,),"  ")</f>
        <v xml:space="preserve">  </v>
      </c>
      <c r="E65" s="17" t="str">
        <f>IFERROR(VLOOKUP(A65,'Pedido '!B:O,14,),"  ")</f>
        <v xml:space="preserve">  </v>
      </c>
    </row>
    <row r="66" spans="1:5" x14ac:dyDescent="0.25">
      <c r="A66" s="5">
        <v>405373</v>
      </c>
      <c r="B66" s="19" t="s">
        <v>81</v>
      </c>
      <c r="C66" s="11" t="str">
        <f>IFERROR(VLOOKUP(A66,'Pedido '!B:O,11,),"  ")</f>
        <v xml:space="preserve">  </v>
      </c>
      <c r="D66" s="5" t="str">
        <f>IFERROR(VLOOKUP(A66,'Pedido '!B:O,12,),"  ")</f>
        <v xml:space="preserve">  </v>
      </c>
      <c r="E66" s="17" t="str">
        <f>IFERROR(VLOOKUP(A66,'Pedido '!B:O,14,),"  ")</f>
        <v xml:space="preserve">  </v>
      </c>
    </row>
    <row r="67" spans="1:5" x14ac:dyDescent="0.25">
      <c r="A67" s="5">
        <v>405374</v>
      </c>
      <c r="B67" s="19" t="s">
        <v>82</v>
      </c>
      <c r="C67" s="11" t="str">
        <f>IFERROR(VLOOKUP(A67,'Pedido '!B:O,11,),"  ")</f>
        <v xml:space="preserve">  </v>
      </c>
      <c r="D67" s="5" t="str">
        <f>IFERROR(VLOOKUP(A67,'Pedido '!B:O,12,),"  ")</f>
        <v xml:space="preserve">  </v>
      </c>
      <c r="E67" s="17" t="str">
        <f>IFERROR(VLOOKUP(A67,'Pedido '!B:O,14,),"  ")</f>
        <v xml:space="preserve">  </v>
      </c>
    </row>
    <row r="68" spans="1:5" x14ac:dyDescent="0.25">
      <c r="A68" s="5">
        <v>405382</v>
      </c>
      <c r="B68" s="19" t="s">
        <v>83</v>
      </c>
      <c r="C68" s="11" t="str">
        <f>IFERROR(VLOOKUP(A68,'Pedido '!B:O,11,),"  ")</f>
        <v xml:space="preserve">  </v>
      </c>
      <c r="D68" s="5" t="str">
        <f>IFERROR(VLOOKUP(A68,'Pedido '!B:O,12,),"  ")</f>
        <v xml:space="preserve">  </v>
      </c>
      <c r="E68" s="17" t="str">
        <f>IFERROR(VLOOKUP(A68,'Pedido '!B:O,14,),"  ")</f>
        <v xml:space="preserve">  </v>
      </c>
    </row>
    <row r="69" spans="1:5" x14ac:dyDescent="0.25">
      <c r="A69" s="5">
        <v>405605</v>
      </c>
      <c r="B69" s="19" t="s">
        <v>84</v>
      </c>
      <c r="C69" s="11" t="str">
        <f>IFERROR(VLOOKUP(A69,'Pedido '!B:O,11,),"  ")</f>
        <v xml:space="preserve">  </v>
      </c>
      <c r="D69" s="5" t="str">
        <f>IFERROR(VLOOKUP(A69,'Pedido '!B:O,12,),"  ")</f>
        <v xml:space="preserve">  </v>
      </c>
      <c r="E69" s="17" t="str">
        <f>IFERROR(VLOOKUP(A69,'Pedido '!B:O,14,),"  ")</f>
        <v xml:space="preserve">  </v>
      </c>
    </row>
    <row r="70" spans="1:5" x14ac:dyDescent="0.25">
      <c r="A70" s="5">
        <v>405608</v>
      </c>
      <c r="B70" s="19" t="s">
        <v>85</v>
      </c>
      <c r="C70" s="11" t="str">
        <f>IFERROR(VLOOKUP(A70,'Pedido '!B:O,11,),"  ")</f>
        <v xml:space="preserve">  </v>
      </c>
      <c r="D70" s="5" t="str">
        <f>IFERROR(VLOOKUP(A70,'Pedido '!B:O,12,),"  ")</f>
        <v xml:space="preserve">  </v>
      </c>
      <c r="E70" s="17" t="str">
        <f>IFERROR(VLOOKUP(A70,'Pedido '!B:O,14,),"  ")</f>
        <v xml:space="preserve">  </v>
      </c>
    </row>
    <row r="71" spans="1:5" x14ac:dyDescent="0.25">
      <c r="A71" s="5">
        <v>405456</v>
      </c>
      <c r="B71" s="19" t="s">
        <v>86</v>
      </c>
      <c r="C71" s="11" t="str">
        <f>IFERROR(VLOOKUP(A71,'Pedido '!B:O,11,),"  ")</f>
        <v xml:space="preserve">  </v>
      </c>
      <c r="D71" s="5" t="str">
        <f>IFERROR(VLOOKUP(A71,'Pedido '!B:O,12,),"  ")</f>
        <v xml:space="preserve">  </v>
      </c>
      <c r="E71" s="17" t="str">
        <f>IFERROR(VLOOKUP(A71,'Pedido '!B:O,14,),"  ")</f>
        <v xml:space="preserve">  </v>
      </c>
    </row>
    <row r="72" spans="1:5" x14ac:dyDescent="0.25">
      <c r="A72" s="5">
        <v>405457</v>
      </c>
      <c r="B72" s="19" t="s">
        <v>87</v>
      </c>
      <c r="C72" s="11" t="str">
        <f>IFERROR(VLOOKUP(A72,'Pedido '!B:O,11,),"  ")</f>
        <v xml:space="preserve">  </v>
      </c>
      <c r="D72" s="5" t="str">
        <f>IFERROR(VLOOKUP(A72,'Pedido '!B:O,12,),"  ")</f>
        <v xml:space="preserve">  </v>
      </c>
      <c r="E72" s="17" t="str">
        <f>IFERROR(VLOOKUP(A72,'Pedido '!B:O,14,),"  ")</f>
        <v xml:space="preserve">  </v>
      </c>
    </row>
    <row r="73" spans="1:5" x14ac:dyDescent="0.25">
      <c r="A73" s="5">
        <v>405459</v>
      </c>
      <c r="B73" s="19" t="s">
        <v>88</v>
      </c>
      <c r="C73" s="11" t="str">
        <f>IFERROR(VLOOKUP(A73,'Pedido '!B:O,11,),"  ")</f>
        <v xml:space="preserve">  </v>
      </c>
      <c r="D73" s="5" t="str">
        <f>IFERROR(VLOOKUP(A73,'Pedido '!B:O,12,),"  ")</f>
        <v xml:space="preserve">  </v>
      </c>
      <c r="E73" s="17" t="str">
        <f>IFERROR(VLOOKUP(A73,'Pedido '!B:O,14,),"  ")</f>
        <v xml:space="preserve">  </v>
      </c>
    </row>
    <row r="74" spans="1:5" x14ac:dyDescent="0.25">
      <c r="A74" s="5">
        <v>405460</v>
      </c>
      <c r="B74" s="19" t="s">
        <v>89</v>
      </c>
      <c r="C74" s="11" t="str">
        <f>IFERROR(VLOOKUP(A74,'Pedido '!B:O,11,),"  ")</f>
        <v xml:space="preserve">  </v>
      </c>
      <c r="D74" s="5" t="str">
        <f>IFERROR(VLOOKUP(A74,'Pedido '!B:O,12,),"  ")</f>
        <v xml:space="preserve">  </v>
      </c>
      <c r="E74" s="17" t="str">
        <f>IFERROR(VLOOKUP(A74,'Pedido '!B:O,14,),"  ")</f>
        <v xml:space="preserve">  </v>
      </c>
    </row>
    <row r="75" spans="1:5" x14ac:dyDescent="0.25">
      <c r="A75" s="5">
        <v>405458</v>
      </c>
      <c r="B75" s="19" t="s">
        <v>90</v>
      </c>
      <c r="C75" s="11" t="str">
        <f>IFERROR(VLOOKUP(A75,'Pedido '!B:O,11,),"  ")</f>
        <v xml:space="preserve">  </v>
      </c>
      <c r="D75" s="5" t="str">
        <f>IFERROR(VLOOKUP(A75,'Pedido '!B:O,12,),"  ")</f>
        <v xml:space="preserve">  </v>
      </c>
      <c r="E75" s="17" t="str">
        <f>IFERROR(VLOOKUP(A75,'Pedido '!B:O,14,),"  ")</f>
        <v xml:space="preserve">  </v>
      </c>
    </row>
    <row r="76" spans="1:5" x14ac:dyDescent="0.25">
      <c r="A76" s="5">
        <v>405696</v>
      </c>
      <c r="B76" s="19" t="s">
        <v>91</v>
      </c>
      <c r="C76" s="11" t="str">
        <f>IFERROR(VLOOKUP(A76,'Pedido '!B:O,11,),"  ")</f>
        <v xml:space="preserve">  </v>
      </c>
      <c r="D76" s="5" t="str">
        <f>IFERROR(VLOOKUP(A76,'Pedido '!B:O,12,),"  ")</f>
        <v xml:space="preserve">  </v>
      </c>
      <c r="E76" s="17" t="str">
        <f>IFERROR(VLOOKUP(A76,'Pedido '!B:O,14,),"  ")</f>
        <v xml:space="preserve">  </v>
      </c>
    </row>
    <row r="77" spans="1:5" x14ac:dyDescent="0.25">
      <c r="A77" s="5">
        <v>405697</v>
      </c>
      <c r="B77" s="19" t="s">
        <v>92</v>
      </c>
      <c r="C77" s="11" t="str">
        <f>IFERROR(VLOOKUP(A77,'Pedido '!B:O,11,),"  ")</f>
        <v xml:space="preserve">  </v>
      </c>
      <c r="D77" s="5" t="str">
        <f>IFERROR(VLOOKUP(A77,'Pedido '!B:O,12,),"  ")</f>
        <v xml:space="preserve">  </v>
      </c>
      <c r="E77" s="17" t="str">
        <f>IFERROR(VLOOKUP(A77,'Pedido '!B:O,14,),"  ")</f>
        <v xml:space="preserve">  </v>
      </c>
    </row>
    <row r="78" spans="1:5" x14ac:dyDescent="0.25">
      <c r="A78" s="5">
        <v>405698</v>
      </c>
      <c r="B78" s="19" t="s">
        <v>93</v>
      </c>
      <c r="C78" s="11" t="str">
        <f>IFERROR(VLOOKUP(A78,'Pedido '!B:O,11,),"  ")</f>
        <v xml:space="preserve">  </v>
      </c>
      <c r="D78" s="5" t="str">
        <f>IFERROR(VLOOKUP(A78,'Pedido '!B:O,12,),"  ")</f>
        <v xml:space="preserve">  </v>
      </c>
      <c r="E78" s="17" t="str">
        <f>IFERROR(VLOOKUP(A78,'Pedido '!B:O,14,),"  ")</f>
        <v xml:space="preserve">  </v>
      </c>
    </row>
    <row r="79" spans="1:5" x14ac:dyDescent="0.25">
      <c r="A79" s="5">
        <v>405655</v>
      </c>
      <c r="B79" s="19" t="s">
        <v>94</v>
      </c>
      <c r="C79" s="11" t="str">
        <f>IFERROR(VLOOKUP(A79,'Pedido '!B:O,11,),"  ")</f>
        <v xml:space="preserve">  </v>
      </c>
      <c r="D79" s="5" t="str">
        <f>IFERROR(VLOOKUP(A79,'Pedido '!B:O,12,),"  ")</f>
        <v xml:space="preserve">  </v>
      </c>
      <c r="E79" s="17" t="str">
        <f>IFERROR(VLOOKUP(A79,'Pedido '!B:O,14,),"  ")</f>
        <v xml:space="preserve">  </v>
      </c>
    </row>
    <row r="80" spans="1:5" x14ac:dyDescent="0.25">
      <c r="A80" s="5">
        <v>405654</v>
      </c>
      <c r="B80" s="19" t="s">
        <v>95</v>
      </c>
      <c r="C80" s="11" t="str">
        <f>IFERROR(VLOOKUP(A80,'Pedido '!B:O,11,),"  ")</f>
        <v xml:space="preserve">  </v>
      </c>
      <c r="D80" s="5" t="str">
        <f>IFERROR(VLOOKUP(A80,'Pedido '!B:O,12,),"  ")</f>
        <v xml:space="preserve">  </v>
      </c>
      <c r="E80" s="17" t="str">
        <f>IFERROR(VLOOKUP(A80,'Pedido '!B:O,14,),"  ")</f>
        <v xml:space="preserve">  </v>
      </c>
    </row>
    <row r="81" spans="1:5" x14ac:dyDescent="0.25">
      <c r="A81" s="5">
        <v>405463</v>
      </c>
      <c r="B81" s="19" t="s">
        <v>96</v>
      </c>
      <c r="C81" s="11" t="str">
        <f>IFERROR(VLOOKUP(A81,'Pedido '!B:O,11,),"  ")</f>
        <v xml:space="preserve">  </v>
      </c>
      <c r="D81" s="5" t="str">
        <f>IFERROR(VLOOKUP(A81,'Pedido '!B:O,12,),"  ")</f>
        <v xml:space="preserve">  </v>
      </c>
      <c r="E81" s="17" t="str">
        <f>IFERROR(VLOOKUP(A81,'Pedido '!B:O,14,),"  ")</f>
        <v xml:space="preserve">  </v>
      </c>
    </row>
    <row r="82" spans="1:5" x14ac:dyDescent="0.25">
      <c r="A82" s="5">
        <v>405699</v>
      </c>
      <c r="B82" s="19" t="s">
        <v>97</v>
      </c>
      <c r="C82" s="11" t="str">
        <f>IFERROR(VLOOKUP(A82,'Pedido '!B:O,11,),"  ")</f>
        <v xml:space="preserve">  </v>
      </c>
      <c r="D82" s="5" t="str">
        <f>IFERROR(VLOOKUP(A82,'Pedido '!B:O,12,),"  ")</f>
        <v xml:space="preserve">  </v>
      </c>
      <c r="E82" s="17" t="str">
        <f>IFERROR(VLOOKUP(A82,'Pedido '!B:O,14,),"  ")</f>
        <v xml:space="preserve">  </v>
      </c>
    </row>
    <row r="83" spans="1:5" x14ac:dyDescent="0.25">
      <c r="A83" s="5">
        <v>405607</v>
      </c>
      <c r="B83" s="19" t="s">
        <v>98</v>
      </c>
      <c r="C83" s="11" t="str">
        <f>IFERROR(VLOOKUP(A83,'Pedido '!B:O,11,),"  ")</f>
        <v xml:space="preserve">  </v>
      </c>
      <c r="D83" s="5" t="str">
        <f>IFERROR(VLOOKUP(A83,'Pedido '!B:O,12,),"  ")</f>
        <v xml:space="preserve">  </v>
      </c>
      <c r="E83" s="17" t="str">
        <f>IFERROR(VLOOKUP(A83,'Pedido '!B:O,14,),"  ")</f>
        <v xml:space="preserve">  </v>
      </c>
    </row>
    <row r="84" spans="1:5" x14ac:dyDescent="0.25">
      <c r="A84" s="5">
        <v>405680</v>
      </c>
      <c r="B84" s="19" t="s">
        <v>102</v>
      </c>
      <c r="C84" s="11" t="str">
        <f>IFERROR(VLOOKUP(A84,'Pedido '!B:O,11,),"  ")</f>
        <v xml:space="preserve">  </v>
      </c>
      <c r="D84" s="5" t="str">
        <f>IFERROR(VLOOKUP(A84,'Pedido '!B:O,12,),"  ")</f>
        <v xml:space="preserve">  </v>
      </c>
      <c r="E84" s="17" t="str">
        <f>IFERROR(VLOOKUP(A84,'Pedido '!B:O,14,),"  ")</f>
        <v xml:space="preserve">  </v>
      </c>
    </row>
    <row r="85" spans="1:5" x14ac:dyDescent="0.25">
      <c r="A85" s="5">
        <v>405514</v>
      </c>
      <c r="B85" s="19" t="s">
        <v>186</v>
      </c>
      <c r="C85" s="11" t="str">
        <f>IFERROR(VLOOKUP(A85,'Pedido '!B:O,11,),"  ")</f>
        <v xml:space="preserve">  </v>
      </c>
      <c r="D85" s="5" t="str">
        <f>IFERROR(VLOOKUP(A85,'Pedido '!B:O,12,),"  ")</f>
        <v xml:space="preserve">  </v>
      </c>
      <c r="E85" s="17" t="str">
        <f>IFERROR(VLOOKUP(A85,'Pedido '!B:O,14,),"  ")</f>
        <v xml:space="preserve">  </v>
      </c>
    </row>
    <row r="86" spans="1:5" x14ac:dyDescent="0.25">
      <c r="A86" s="5">
        <v>405515</v>
      </c>
      <c r="B86" s="19" t="s">
        <v>187</v>
      </c>
      <c r="C86" s="11" t="str">
        <f>IFERROR(VLOOKUP(A86,'Pedido '!B:O,11,),"  ")</f>
        <v xml:space="preserve">  </v>
      </c>
      <c r="D86" s="5" t="str">
        <f>IFERROR(VLOOKUP(A86,'Pedido '!B:O,12,),"  ")</f>
        <v xml:space="preserve">  </v>
      </c>
      <c r="E86" s="17" t="str">
        <f>IFERROR(VLOOKUP(A86,'Pedido '!B:O,14,),"  ")</f>
        <v xml:space="preserve">  </v>
      </c>
    </row>
    <row r="87" spans="1:5" x14ac:dyDescent="0.25">
      <c r="A87" s="5">
        <v>405516</v>
      </c>
      <c r="B87" s="19" t="s">
        <v>188</v>
      </c>
      <c r="C87" s="11" t="str">
        <f>IFERROR(VLOOKUP(A87,'Pedido '!B:O,11,),"  ")</f>
        <v xml:space="preserve">  </v>
      </c>
      <c r="D87" s="5" t="str">
        <f>IFERROR(VLOOKUP(A87,'Pedido '!B:O,12,),"  ")</f>
        <v xml:space="preserve">  </v>
      </c>
      <c r="E87" s="17" t="str">
        <f>IFERROR(VLOOKUP(A87,'Pedido '!B:O,14,),"  ")</f>
        <v xml:space="preserve">  </v>
      </c>
    </row>
    <row r="88" spans="1:5" x14ac:dyDescent="0.25">
      <c r="A88" s="5">
        <v>405517</v>
      </c>
      <c r="B88" s="19" t="s">
        <v>189</v>
      </c>
      <c r="C88" s="11" t="str">
        <f>IFERROR(VLOOKUP(A88,'Pedido '!B:O,11,),"  ")</f>
        <v xml:space="preserve">  </v>
      </c>
      <c r="D88" s="5" t="str">
        <f>IFERROR(VLOOKUP(A88,'Pedido '!B:O,12,),"  ")</f>
        <v xml:space="preserve">  </v>
      </c>
      <c r="E88" s="17" t="str">
        <f>IFERROR(VLOOKUP(A88,'Pedido '!B:O,14,),"  ")</f>
        <v xml:space="preserve">  </v>
      </c>
    </row>
    <row r="89" spans="1:5" x14ac:dyDescent="0.25">
      <c r="A89" s="5">
        <v>405652</v>
      </c>
      <c r="B89" s="19" t="s">
        <v>190</v>
      </c>
      <c r="C89" s="11" t="str">
        <f>IFERROR(VLOOKUP(A89,'Pedido '!B:O,11,),"  ")</f>
        <v xml:space="preserve">  </v>
      </c>
      <c r="D89" s="5" t="str">
        <f>IFERROR(VLOOKUP(A89,'Pedido '!B:O,12,),"  ")</f>
        <v xml:space="preserve">  </v>
      </c>
      <c r="E89" s="17" t="str">
        <f>IFERROR(VLOOKUP(A89,'Pedido '!B:O,14,),"  ")</f>
        <v xml:space="preserve">  </v>
      </c>
    </row>
    <row r="90" spans="1:5" x14ac:dyDescent="0.25">
      <c r="A90" s="5">
        <v>405510</v>
      </c>
      <c r="B90" s="19" t="s">
        <v>191</v>
      </c>
      <c r="C90" s="11" t="str">
        <f>IFERROR(VLOOKUP(A90,'Pedido '!B:O,11,),"  ")</f>
        <v xml:space="preserve">  </v>
      </c>
      <c r="D90" s="5" t="str">
        <f>IFERROR(VLOOKUP(A90,'Pedido '!B:O,12,),"  ")</f>
        <v xml:space="preserve">  </v>
      </c>
      <c r="E90" s="17" t="str">
        <f>IFERROR(VLOOKUP(A90,'Pedido '!B:O,14,),"  ")</f>
        <v xml:space="preserve">  </v>
      </c>
    </row>
    <row r="91" spans="1:5" x14ac:dyDescent="0.25">
      <c r="A91" s="5">
        <v>405511</v>
      </c>
      <c r="B91" s="19" t="s">
        <v>192</v>
      </c>
      <c r="C91" s="11" t="str">
        <f>IFERROR(VLOOKUP(A91,'Pedido '!B:O,11,),"  ")</f>
        <v xml:space="preserve">  </v>
      </c>
      <c r="D91" s="5" t="str">
        <f>IFERROR(VLOOKUP(A91,'Pedido '!B:O,12,),"  ")</f>
        <v xml:space="preserve">  </v>
      </c>
      <c r="E91" s="17" t="str">
        <f>IFERROR(VLOOKUP(A91,'Pedido '!B:O,14,),"  ")</f>
        <v xml:space="preserve">  </v>
      </c>
    </row>
    <row r="92" spans="1:5" x14ac:dyDescent="0.25">
      <c r="A92" s="5">
        <v>405512</v>
      </c>
      <c r="B92" s="19" t="s">
        <v>193</v>
      </c>
      <c r="C92" s="11" t="str">
        <f>IFERROR(VLOOKUP(A92,'Pedido '!B:O,11,),"  ")</f>
        <v xml:space="preserve">  </v>
      </c>
      <c r="D92" s="5" t="str">
        <f>IFERROR(VLOOKUP(A92,'Pedido '!B:O,12,),"  ")</f>
        <v xml:space="preserve">  </v>
      </c>
      <c r="E92" s="17" t="str">
        <f>IFERROR(VLOOKUP(A92,'Pedido '!B:O,14,),"  ")</f>
        <v xml:space="preserve">  </v>
      </c>
    </row>
    <row r="93" spans="1:5" x14ac:dyDescent="0.25">
      <c r="A93" s="5">
        <v>405513</v>
      </c>
      <c r="B93" s="19" t="s">
        <v>194</v>
      </c>
      <c r="C93" s="11" t="str">
        <f>IFERROR(VLOOKUP(A93,'Pedido '!B:O,11,),"  ")</f>
        <v xml:space="preserve">  </v>
      </c>
      <c r="D93" s="5" t="str">
        <f>IFERROR(VLOOKUP(A93,'Pedido '!B:O,12,),"  ")</f>
        <v xml:space="preserve">  </v>
      </c>
      <c r="E93" s="17" t="str">
        <f>IFERROR(VLOOKUP(A93,'Pedido '!B:O,14,),"  ")</f>
        <v xml:space="preserve">  </v>
      </c>
    </row>
    <row r="94" spans="1:5" x14ac:dyDescent="0.25">
      <c r="A94" s="5">
        <v>405691</v>
      </c>
      <c r="B94" s="19" t="s">
        <v>195</v>
      </c>
      <c r="C94" s="11" t="str">
        <f>IFERROR(VLOOKUP(A94,'Pedido '!B:O,11,),"  ")</f>
        <v xml:space="preserve">  </v>
      </c>
      <c r="D94" s="5" t="str">
        <f>IFERROR(VLOOKUP(A94,'Pedido '!B:O,12,),"  ")</f>
        <v xml:space="preserve">  </v>
      </c>
      <c r="E94" s="17" t="str">
        <f>IFERROR(VLOOKUP(A94,'Pedido '!B:O,14,),"  ")</f>
        <v xml:space="preserve">  </v>
      </c>
    </row>
    <row r="95" spans="1:5" x14ac:dyDescent="0.25">
      <c r="A95" s="5">
        <v>405692</v>
      </c>
      <c r="B95" s="19" t="s">
        <v>196</v>
      </c>
      <c r="C95" s="11" t="str">
        <f>IFERROR(VLOOKUP(A95,'Pedido '!B:O,11,),"  ")</f>
        <v xml:space="preserve">  </v>
      </c>
      <c r="D95" s="5" t="str">
        <f>IFERROR(VLOOKUP(A95,'Pedido '!B:O,12,),"  ")</f>
        <v xml:space="preserve">  </v>
      </c>
      <c r="E95" s="17" t="str">
        <f>IFERROR(VLOOKUP(A95,'Pedido '!B:O,14,),"  ")</f>
        <v xml:space="preserve">  </v>
      </c>
    </row>
    <row r="96" spans="1:5" x14ac:dyDescent="0.25">
      <c r="A96" s="5">
        <v>405693</v>
      </c>
      <c r="B96" s="19" t="s">
        <v>197</v>
      </c>
      <c r="C96" s="11" t="str">
        <f>IFERROR(VLOOKUP(A96,'Pedido '!B:O,11,),"  ")</f>
        <v xml:space="preserve">  </v>
      </c>
      <c r="D96" s="5" t="str">
        <f>IFERROR(VLOOKUP(A96,'Pedido '!B:O,12,),"  ")</f>
        <v xml:space="preserve">  </v>
      </c>
      <c r="E96" s="17" t="str">
        <f>IFERROR(VLOOKUP(A96,'Pedido '!B:O,14,),"  ")</f>
        <v xml:space="preserve">  </v>
      </c>
    </row>
    <row r="97" spans="1:5" x14ac:dyDescent="0.25">
      <c r="A97" s="5">
        <v>405694</v>
      </c>
      <c r="B97" s="19" t="s">
        <v>198</v>
      </c>
      <c r="C97" s="11" t="str">
        <f>IFERROR(VLOOKUP(A97,'Pedido '!B:O,11,),"  ")</f>
        <v xml:space="preserve">  </v>
      </c>
      <c r="D97" s="5" t="str">
        <f>IFERROR(VLOOKUP(A97,'Pedido '!B:O,12,),"  ")</f>
        <v xml:space="preserve">  </v>
      </c>
      <c r="E97" s="17" t="str">
        <f>IFERROR(VLOOKUP(A97,'Pedido '!B:O,14,),"  ")</f>
        <v xml:space="preserve">  </v>
      </c>
    </row>
    <row r="98" spans="1:5" x14ac:dyDescent="0.25">
      <c r="A98" s="5">
        <v>405520</v>
      </c>
      <c r="B98" s="19" t="s">
        <v>199</v>
      </c>
      <c r="C98" s="11" t="str">
        <f>IFERROR(VLOOKUP(A98,'Pedido '!B:O,11,),"  ")</f>
        <v xml:space="preserve">  </v>
      </c>
      <c r="D98" s="5" t="str">
        <f>IFERROR(VLOOKUP(A98,'Pedido '!B:O,12,),"  ")</f>
        <v xml:space="preserve">  </v>
      </c>
      <c r="E98" s="17" t="str">
        <f>IFERROR(VLOOKUP(A98,'Pedido '!B:O,14,),"  ")</f>
        <v xml:space="preserve">  </v>
      </c>
    </row>
    <row r="99" spans="1:5" x14ac:dyDescent="0.25">
      <c r="A99" s="5">
        <v>405688</v>
      </c>
      <c r="B99" s="19" t="s">
        <v>200</v>
      </c>
      <c r="C99" s="11" t="str">
        <f>IFERROR(VLOOKUP(A99,'Pedido '!B:O,11,),"  ")</f>
        <v xml:space="preserve">  </v>
      </c>
      <c r="D99" s="5" t="str">
        <f>IFERROR(VLOOKUP(A99,'Pedido '!B:O,12,),"  ")</f>
        <v xml:space="preserve">  </v>
      </c>
      <c r="E99" s="17" t="str">
        <f>IFERROR(VLOOKUP(A99,'Pedido '!B:O,14,),"  ")</f>
        <v xml:space="preserve">  </v>
      </c>
    </row>
    <row r="100" spans="1:5" x14ac:dyDescent="0.25">
      <c r="A100" s="5">
        <v>405700</v>
      </c>
      <c r="B100" s="19" t="s">
        <v>201</v>
      </c>
      <c r="C100" s="11" t="str">
        <f>IFERROR(VLOOKUP(A100,'Pedido '!B:O,11,),"  ")</f>
        <v xml:space="preserve">  </v>
      </c>
      <c r="D100" s="5" t="str">
        <f>IFERROR(VLOOKUP(A100,'Pedido '!B:O,12,),"  ")</f>
        <v xml:space="preserve">  </v>
      </c>
      <c r="E100" s="17" t="str">
        <f>IFERROR(VLOOKUP(A100,'Pedido '!B:O,14,),"  ")</f>
        <v xml:space="preserve">  </v>
      </c>
    </row>
    <row r="101" spans="1:5" x14ac:dyDescent="0.25">
      <c r="A101" s="5">
        <v>405521</v>
      </c>
      <c r="B101" s="19" t="s">
        <v>202</v>
      </c>
      <c r="C101" s="11" t="str">
        <f>IFERROR(VLOOKUP(A101,'Pedido '!B:O,11,),"  ")</f>
        <v xml:space="preserve">  </v>
      </c>
      <c r="D101" s="5" t="str">
        <f>IFERROR(VLOOKUP(A101,'Pedido '!B:O,12,),"  ")</f>
        <v xml:space="preserve">  </v>
      </c>
      <c r="E101" s="17" t="str">
        <f>IFERROR(VLOOKUP(A101,'Pedido '!B:O,14,),"  ")</f>
        <v xml:space="preserve">  </v>
      </c>
    </row>
    <row r="102" spans="1:5" x14ac:dyDescent="0.25">
      <c r="A102" s="5">
        <v>405690</v>
      </c>
      <c r="B102" s="19" t="s">
        <v>203</v>
      </c>
      <c r="C102" s="11" t="str">
        <f>IFERROR(VLOOKUP(A102,'Pedido '!B:O,11,),"  ")</f>
        <v xml:space="preserve">  </v>
      </c>
      <c r="D102" s="5" t="str">
        <f>IFERROR(VLOOKUP(A102,'Pedido '!B:O,12,),"  ")</f>
        <v xml:space="preserve">  </v>
      </c>
      <c r="E102" s="17" t="str">
        <f>IFERROR(VLOOKUP(A102,'Pedido '!B:O,14,),"  ")</f>
        <v xml:space="preserve">  </v>
      </c>
    </row>
    <row r="103" spans="1:5" x14ac:dyDescent="0.25">
      <c r="A103" s="5">
        <v>405689</v>
      </c>
      <c r="B103" s="19" t="s">
        <v>204</v>
      </c>
      <c r="C103" s="11" t="str">
        <f>IFERROR(VLOOKUP(A103,'Pedido '!B:O,11,),"  ")</f>
        <v xml:space="preserve">  </v>
      </c>
      <c r="D103" s="5" t="str">
        <f>IFERROR(VLOOKUP(A103,'Pedido '!B:O,12,),"  ")</f>
        <v xml:space="preserve">  </v>
      </c>
      <c r="E103" s="17" t="str">
        <f>IFERROR(VLOOKUP(A103,'Pedido '!B:O,14,),"  ")</f>
        <v xml:space="preserve">  </v>
      </c>
    </row>
    <row r="104" spans="1:5" x14ac:dyDescent="0.25">
      <c r="A104" s="5">
        <v>405701</v>
      </c>
      <c r="B104" s="19" t="s">
        <v>205</v>
      </c>
      <c r="C104" s="11" t="str">
        <f>IFERROR(VLOOKUP(A104,'Pedido '!B:O,11,),"  ")</f>
        <v xml:space="preserve">  </v>
      </c>
      <c r="D104" s="5" t="str">
        <f>IFERROR(VLOOKUP(A104,'Pedido '!B:O,12,),"  ")</f>
        <v xml:space="preserve">  </v>
      </c>
      <c r="E104" s="17" t="str">
        <f>IFERROR(VLOOKUP(A104,'Pedido '!B:O,14,),"  ")</f>
        <v xml:space="preserve">  </v>
      </c>
    </row>
    <row r="105" spans="1:5" x14ac:dyDescent="0.25">
      <c r="A105" s="5">
        <v>405603</v>
      </c>
      <c r="B105" s="19" t="s">
        <v>206</v>
      </c>
      <c r="C105" s="11" t="str">
        <f>IFERROR(VLOOKUP(A105,'Pedido '!B:O,11,),"  ")</f>
        <v xml:space="preserve">  </v>
      </c>
      <c r="D105" s="5" t="str">
        <f>IFERROR(VLOOKUP(A105,'Pedido '!B:O,12,),"  ")</f>
        <v xml:space="preserve">  </v>
      </c>
      <c r="E105" s="17" t="str">
        <f>IFERROR(VLOOKUP(A105,'Pedido '!B:O,14,),"  ")</f>
        <v xml:space="preserve">  </v>
      </c>
    </row>
    <row r="106" spans="1:5" x14ac:dyDescent="0.25">
      <c r="A106" s="5">
        <v>405660</v>
      </c>
      <c r="B106" s="19" t="s">
        <v>207</v>
      </c>
      <c r="C106" s="11" t="str">
        <f>IFERROR(VLOOKUP(A106,'Pedido '!B:O,11,),"  ")</f>
        <v xml:space="preserve">  </v>
      </c>
      <c r="D106" s="5" t="str">
        <f>IFERROR(VLOOKUP(A106,'Pedido '!B:O,12,),"  ")</f>
        <v xml:space="preserve">  </v>
      </c>
      <c r="E106" s="17" t="str">
        <f>IFERROR(VLOOKUP(A106,'Pedido '!B:O,14,),"  ")</f>
        <v xml:space="preserve">  </v>
      </c>
    </row>
    <row r="107" spans="1:5" x14ac:dyDescent="0.25">
      <c r="A107" s="27" t="s">
        <v>244</v>
      </c>
      <c r="B107" s="27"/>
      <c r="C107" s="28">
        <f>SUM(C2:C106)</f>
        <v>0.05</v>
      </c>
      <c r="D107" s="27"/>
      <c r="E107" s="17">
        <f>SUM(E2:E106)</f>
        <v>6937.02</v>
      </c>
    </row>
  </sheetData>
  <autoFilter ref="A1:E107" xr:uid="{B83D95B5-0181-4591-BE67-9888C0E648DD}"/>
  <conditionalFormatting sqref="C1 E1">
    <cfRule type="cellIs" dxfId="0" priority="1" operator="equal">
      <formula>#REF!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Pedido </vt:lpstr>
      <vt:lpstr>Campanhas Beauty </vt:lpstr>
      <vt:lpstr>Camp 1 (Coloração)</vt:lpstr>
      <vt:lpstr>Camp 5</vt:lpstr>
      <vt:lpstr>Produtos Fora de Campanha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TECNOLOGIA DA INFORMACAO</cp:lastModifiedBy>
  <dcterms:created xsi:type="dcterms:W3CDTF">2026-08-27T17:26:26Z</dcterms:created>
  <dcterms:modified xsi:type="dcterms:W3CDTF">2026-09-01T15:15:12Z</dcterms:modified>
</cp:coreProperties>
</file>